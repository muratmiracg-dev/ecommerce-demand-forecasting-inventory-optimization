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7599e8f22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89f40a35fc54f29"/>
    <x:sheet xmlns:r="http://schemas.openxmlformats.org/officeDocument/2006/relationships" name="Executive Dashboard" sheetId="2" r:id="R26ae0046b5224cb9"/>
    <x:sheet xmlns:r="http://schemas.openxmlformats.org/officeDocument/2006/relationships" name="Scenario Planner" sheetId="3" r:id="Ra0ffc1e4702e4295"/>
    <x:sheet xmlns:r="http://schemas.openxmlformats.org/officeDocument/2006/relationships" name="Replenishment" sheetId="4" r:id="Re56ce77548f24e7b"/>
    <x:sheet xmlns:r="http://schemas.openxmlformats.org/officeDocument/2006/relationships" name="Forecast Accuracy" sheetId="5" r:id="Rdb272fcd567e4836"/>
    <x:sheet xmlns:r="http://schemas.openxmlformats.org/officeDocument/2006/relationships" name="Monthly Performance" sheetId="6" r:id="Rf4d48fc2671a43ea"/>
    <x:sheet xmlns:r="http://schemas.openxmlformats.org/officeDocument/2006/relationships" name="Product Portfolio" sheetId="7" r:id="R07aa5b8e01fc4d42"/>
    <x:sheet xmlns:r="http://schemas.openxmlformats.org/officeDocument/2006/relationships" name="Forecast Data" sheetId="8" r:id="Re26db438f38e4c7d"/>
    <x:sheet xmlns:r="http://schemas.openxmlformats.org/officeDocument/2006/relationships" name="Supplier Scorecard" sheetId="9" r:id="R69c4d3463d704b4a"/>
    <x:sheet xmlns:r="http://schemas.openxmlformats.org/officeDocument/2006/relationships" name="Scenario Data" sheetId="10" r:id="R672690ef5e9f41bd"/>
    <x:sheet xmlns:r="http://schemas.openxmlformats.org/officeDocument/2006/relationships" name="Dashboard Data" sheetId="11" r:id="R27662102f73442b1"/>
    <x:sheet xmlns:r="http://schemas.openxmlformats.org/officeDocument/2006/relationships" name="Assumptions" sheetId="12" r:id="R0b7b0fd24ebb4aa5"/>
    <x:sheet xmlns:r="http://schemas.openxmlformats.org/officeDocument/2006/relationships" name="Data Dictionary" sheetId="13" r:id="R4be30c1e51df4313"/>
    <x:sheet xmlns:r="http://schemas.openxmlformats.org/officeDocument/2006/relationships" name="Checks" sheetId="14" r:id="R78b3b0a3bfe54fbf"/>
    <x:sheet xmlns:r="http://schemas.openxmlformats.org/officeDocument/2006/relationships" name="Sources" sheetId="15" r:id="Re761db4b9e2d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₺#,##0;[Red]-₺#,##0"/>
    <x:numFmt numFmtId="201" formatCode="0.0%"/>
    <x:numFmt numFmtId="202" formatCode="₺#,##0"/>
    <x:numFmt numFmtId="203" formatCode="0.0"/>
  </x:numFmts>
  <x:fonts count="19">
    <x:font>
      <x:sz val="11"/>
      <x:name val="Carlito"/>
    </x:font>
    <x:font>
      <x:b/>
      <x:sz val="26"/>
      <x:color rgb="FFFFFFFF"/>
      <x:name val="Carlito"/>
    </x:font>
    <x:font>
      <x:b/>
      <x:sz val="12"/>
      <x:color rgb="FFFFFFFF"/>
      <x:name val="Carlito"/>
    </x:font>
    <x:font>
      <x:sz val="14"/>
      <x:color rgb="FF172033"/>
      <x:name val="Carlito"/>
    </x:font>
    <x:font>
      <x:b/>
      <x:sz val="13"/>
      <x:color rgb="FF0B132B"/>
      <x:name val="Carlito"/>
    </x:font>
    <x:font>
      <x:i/>
      <x:sz val="11"/>
      <x:color rgb="FF667085"/>
      <x:name val="Carlito"/>
    </x:font>
    <x:font>
      <x:b/>
      <x:sz val="20"/>
      <x:color rgb="FFFFFFFF"/>
      <x:name val="Carlito"/>
    </x:font>
    <x:font>
      <x:i/>
      <x:sz val="10"/>
      <x:color rgb="FFD7E3F7"/>
      <x:name val="Carlito"/>
    </x:font>
    <x:font>
      <x:sz val="9"/>
      <x:color rgb="FF172033"/>
      <x:name val="Carlito"/>
    </x:font>
    <x:font>
      <x:b/>
      <x:sz val="9"/>
      <x:color rgb="FFFFFFFF"/>
      <x:name val="Carlito"/>
    </x:font>
    <x:font>
      <x:sz val="9"/>
      <x:color rgb="FF0000FF"/>
      <x:name val="Carlito"/>
    </x:font>
    <x:font>
      <x:b/>
      <x:sz val="11"/>
      <x:color rgb="FFFFFFFF"/>
      <x:name val="Carlito"/>
    </x:font>
    <x:font>
      <x:b/>
      <x:sz val="9"/>
      <x:color rgb="FF0000FF"/>
      <x:name val="Carlito"/>
    </x:font>
    <x:font>
      <x:b/>
      <x:sz val="9"/>
      <x:color rgb="FF667085"/>
      <x:name val="Carlito"/>
    </x:font>
    <x:font>
      <x:b/>
      <x:sz val="20"/>
      <x:color rgb="FF3D8DFF"/>
      <x:name val="Carlito"/>
    </x:font>
    <x:font>
      <x:b/>
      <x:sz val="20"/>
      <x:color rgb="FF6DCBF4"/>
      <x:name val="Carlito"/>
    </x:font>
    <x:font>
      <x:b/>
      <x:sz val="20"/>
      <x:color rgb="FF18A558"/>
      <x:name val="Carlito"/>
    </x:font>
    <x:font>
      <x:b/>
      <x:sz val="20"/>
      <x:color rgb="FFF59E0B"/>
      <x:name val="Carlito"/>
    </x:font>
    <x:font>
      <x:sz val="12"/>
      <x:color rgb="FF0B132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32B"/>
      </x:patternFill>
    </x:fill>
    <x:fill>
      <x:patternFill patternType="solid">
        <x:fgColor rgb="FF3D8DFF"/>
      </x:patternFill>
    </x:fill>
    <x:fill>
      <x:patternFill patternType="solid">
        <x:fgColor rgb="FFF4F7FB"/>
      </x:patternFill>
    </x:fill>
    <x:fill>
      <x:patternFill patternType="solid">
        <x:fgColor rgb="FFEAF5FB"/>
      </x:patternFill>
    </x:fill>
    <x:fill>
      <x:patternFill patternType="solid">
        <x:fgColor rgb="FFFFFFFF"/>
      </x:patternFill>
    </x:fill>
    <x:fill>
      <x:patternFill patternType="solid">
        <x:fgColor rgb="FF14213D"/>
      </x:patternFill>
    </x:fill>
    <x:fill>
      <x:patternFill patternType="solid">
        <x:fgColor rgb="FFFFF2CC"/>
      </x:patternFill>
    </x:fill>
  </x:fills>
  <x:borders count="22">
    <x:border/>
    <x:border>
      <x:left style="thin">
        <x:color rgb="FFDCE3ED"/>
      </x:left>
      <x:top style="thin">
        <x:color rgb="FFDCE3ED"/>
      </x:top>
    </x:border>
    <x:border>
      <x:top style="thin">
        <x:color rgb="FFDCE3ED"/>
      </x:top>
    </x:border>
    <x:border>
      <x:right style="thin">
        <x:color rgb="FFDCE3ED"/>
      </x:right>
      <x:top style="thin">
        <x:color rgb="FFDCE3ED"/>
      </x:top>
    </x:border>
    <x:border>
      <x:left style="thin">
        <x:color rgb="FFDCE3ED"/>
      </x:left>
    </x:border>
    <x:border>
      <x:right style="thin">
        <x:color rgb="FFDCE3ED"/>
      </x:right>
    </x:border>
    <x:border>
      <x:left style="thin">
        <x:color rgb="FFDCE3ED"/>
      </x:left>
      <x:bottom style="thin">
        <x:color rgb="FFDCE3ED"/>
      </x:bottom>
    </x:border>
    <x:border>
      <x:bottom style="thin">
        <x:color rgb="FFDCE3ED"/>
      </x:bottom>
    </x:border>
    <x:border>
      <x:right style="thin">
        <x:color rgb="FFDCE3ED"/>
      </x:right>
      <x:bottom style="thin">
        <x:color rgb="FFDCE3ED"/>
      </x:bottom>
    </x:border>
    <x:border>
      <x:left style="thin">
        <x:color rgb="FF6DCBF4"/>
      </x:left>
      <x:top style="thin">
        <x:color rgb="FF6DCBF4"/>
      </x:top>
    </x:border>
    <x:border>
      <x:top style="thin">
        <x:color rgb="FF6DCBF4"/>
      </x:top>
    </x:border>
    <x:border>
      <x:right style="thin">
        <x:color rgb="FF6DCBF4"/>
      </x:right>
      <x:top style="thin">
        <x:color rgb="FF6DCBF4"/>
      </x:top>
    </x:border>
    <x:border>
      <x:left style="thin">
        <x:color rgb="FF6DCBF4"/>
      </x:left>
    </x:border>
    <x:border>
      <x:right style="thin">
        <x:color rgb="FF6DCBF4"/>
      </x:right>
    </x:border>
    <x:border>
      <x:left style="thin">
        <x:color rgb="FF6DCBF4"/>
      </x:left>
      <x:bottom style="thin">
        <x:color rgb="FF6DCBF4"/>
      </x:bottom>
    </x:border>
    <x:border>
      <x:bottom style="thin">
        <x:color rgb="FF6DCBF4"/>
      </x:bottom>
    </x:border>
    <x:border>
      <x:right style="thin">
        <x:color rgb="FF6DCBF4"/>
      </x:right>
      <x:bottom style="thin">
        <x:color rgb="FF6DCBF4"/>
      </x:bottom>
    </x:border>
    <x:border>
      <x:left style="thin">
        <x:color rgb="FFDCE3ED"/>
      </x:left>
      <x:right style="thin">
        <x:color rgb="FFDCE3ED"/>
      </x:right>
      <x:top style="thin">
        <x:color rgb="FFDCE3ED"/>
      </x:top>
      <x:bottom style="thin">
        <x:color rgb="FFDCE3ED"/>
      </x:bottom>
    </x:border>
    <x:border>
      <x:left style="thin">
        <x:color rgb="FF14213D"/>
      </x:left>
      <x:right style="thin">
        <x:color rgb="FF14213D"/>
      </x:right>
      <x:top style="thin">
        <x:color rgb="FF14213D"/>
      </x:top>
      <x:bottom style="thin">
        <x:color rgb="FF14213D"/>
      </x:bottom>
    </x:border>
    <x:border>
      <x:left style="thin">
        <x:color rgb="FFDCE3ED"/>
      </x:left>
      <x:top style="thin">
        <x:color rgb="FFDCE3ED"/>
      </x:top>
      <x:bottom style="thin">
        <x:color rgb="FFDCE3ED"/>
      </x:bottom>
    </x:border>
    <x:border>
      <x:top style="thin">
        <x:color rgb="FFDCE3ED"/>
      </x:top>
      <x:bottom style="thin">
        <x:color rgb="FFDCE3ED"/>
      </x:bottom>
    </x:border>
    <x:border>
      <x:right style="thin">
        <x:color rgb="FFDCE3ED"/>
      </x:right>
      <x:top style="thin">
        <x:color rgb="FFDCE3ED"/>
      </x:top>
      <x:bottom style="thin">
        <x:color rgb="FFDCE3ED"/>
      </x:bottom>
    </x:border>
  </x:borders>
  <x:cellStyleXfs count="1">
    <x:xf numFmtId="0" fontId="0" fillId="0" borderId="0"/>
  </x:cellStyleXfs>
  <x:cellXfs count="2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17" xfId="0" applyNumberFormat="1" applyFont="1" applyFill="1" applyBorder="1"/>
    <x:xf numFmtId="0" fontId="8" fillId="0" borderId="17" xfId="0" applyNumberFormat="1" applyFont="1" applyFill="1" applyBorder="1" applyAlignment="1">
      <x:alignment vertical="center"/>
    </x:xf>
    <x:xf numFmtId="0" fontId="8" fillId="7" borderId="17" xfId="0" applyNumberFormat="1" applyFont="1" applyFill="1" applyBorder="1" applyAlignment="1">
      <x:alignment vertical="center"/>
    </x:xf>
    <x:xf numFmtId="0" fontId="9" fillId="7" borderId="17" xfId="0" applyNumberFormat="1" applyFont="1" applyFill="1" applyBorder="1" applyAlignment="1">
      <x:alignment vertical="center"/>
    </x:xf>
    <x:xf numFmtId="0" fontId="9" fillId="7" borderId="18" xfId="0" applyNumberFormat="1" applyFont="1" applyFill="1" applyBorder="1" applyAlignment="1">
      <x:alignment vertical="center"/>
    </x:xf>
    <x:xf numFmtId="0" fontId="9" fillId="7" borderId="18" xfId="0" applyNumberFormat="1" applyFont="1" applyFill="1" applyBorder="1" applyAlignment="1">
      <x:alignment vertical="center" wrapText="1"/>
    </x:xf>
    <x:xf numFmtId="200" fontId="8" fillId="0" borderId="17" xfId="0" applyNumberFormat="1" applyFont="1" applyFill="1" applyBorder="1" applyAlignment="1">
      <x:alignment vertical="center"/>
    </x:xf>
    <x:xf numFmtId="201" fontId="8" fillId="0" borderId="17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" fillId="0" borderId="17" xfId="0" applyNumberFormat="1" applyFont="1" applyFill="1" applyBorder="1" applyAlignment="1">
      <x:alignment vertical="center"/>
    </x:xf>
    <x:xf numFmtId="201" fontId="8" fillId="8" borderId="17" xfId="0" applyNumberFormat="1" applyFont="1" applyFill="1" applyBorder="1" applyAlignment="1">
      <x:alignment vertical="center"/>
    </x:xf>
    <x:xf numFmtId="0" fontId="8" fillId="8" borderId="17" xfId="0" applyNumberFormat="1" applyFont="1" applyFill="1" applyBorder="1" applyAlignment="1">
      <x:alignment vertical="center"/>
    </x:xf>
    <x:xf numFmtId="201" fontId="10" fillId="8" borderId="17" xfId="0" applyNumberFormat="1" applyFont="1" applyFill="1" applyBorder="1" applyAlignment="1">
      <x:alignment vertical="center"/>
    </x:xf>
    <x:xf numFmtId="0" fontId="10" fillId="8" borderId="17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/>
    <x:xf numFmtId="0" fontId="9" fillId="8" borderId="18" xfId="0" applyNumberFormat="1" applyFont="1" applyFill="1" applyBorder="1" applyAlignment="1">
      <x:alignment vertical="center" wrapText="1"/>
    </x:xf>
    <x:xf numFmtId="0" fontId="12" fillId="8" borderId="18" xfId="0" applyNumberFormat="1" applyFont="1" applyFill="1" applyBorder="1" applyAlignment="1">
      <x:alignment vertical="center" wrapText="1"/>
    </x:xf>
    <x:xf numFmtId="0" fontId="12" fillId="8" borderId="17" xfId="0" applyNumberFormat="1" applyFont="1" applyFill="1" applyBorder="1" applyAlignment="1">
      <x:alignment vertical="center"/>
    </x:xf>
    <x:xf numFmtId="201" fontId="12" fillId="8" borderId="17" xfId="0" applyNumberFormat="1" applyFont="1" applyFill="1" applyBorder="1" applyAlignment="1">
      <x:alignment vertical="center"/>
    </x:xf>
    <x:xf numFmtId="203" fontId="12" fillId="8" borderId="17" xfId="0" applyNumberFormat="1" applyFont="1" applyFill="1" applyBorder="1" applyAlignment="1">
      <x:alignment vertical="center"/>
    </x:xf>
    <x:xf numFmtId="203" fontId="8" fillId="0" borderId="17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/>
    <x:xf numFmtId="0" fontId="13" fillId="4" borderId="19" xfId="0" applyNumberFormat="1" applyFont="1" applyFill="1" applyBorder="1"/>
    <x:xf numFmtId="0" fontId="13" fillId="4" borderId="20" xfId="0" applyNumberFormat="1" applyFont="1" applyFill="1" applyBorder="1"/>
    <x:xf numFmtId="0" fontId="13" fillId="4" borderId="21" xfId="0" applyNumberFormat="1" applyFont="1" applyFill="1" applyBorder="1"/>
    <x:xf numFmtId="0" fontId="13" fillId="4" borderId="19" xfId="0" applyNumberFormat="1" applyFont="1" applyFill="1" applyBorder="1" applyAlignment="1">
      <x:alignment vertical="center"/>
    </x:xf>
    <x:xf numFmtId="0" fontId="13" fillId="4" borderId="20" xfId="0" applyNumberFormat="1" applyFont="1" applyFill="1" applyBorder="1" applyAlignment="1">
      <x:alignment vertical="center"/>
    </x:xf>
    <x:xf numFmtId="0" fontId="13" fillId="4" borderId="21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/>
    <x:xf numFmtId="0" fontId="14" fillId="6" borderId="1" xfId="0" applyNumberFormat="1" applyFont="1" applyFill="1" applyBorder="1"/>
    <x:xf numFmtId="0" fontId="14" fillId="6" borderId="2" xfId="0" applyNumberFormat="1" applyFont="1" applyFill="1" applyBorder="1"/>
    <x:xf numFmtId="0" fontId="14" fillId="6" borderId="3" xfId="0" applyNumberFormat="1" applyFont="1" applyFill="1" applyBorder="1"/>
    <x:xf numFmtId="0" fontId="14" fillId="6" borderId="4" xfId="0" applyNumberFormat="1" applyFont="1" applyFill="1" applyBorder="1"/>
    <x:xf numFmtId="0" fontId="14" fillId="6" borderId="5" xfId="0" applyNumberFormat="1" applyFont="1" applyFill="1" applyBorder="1"/>
    <x:xf numFmtId="0" fontId="14" fillId="6" borderId="6" xfId="0" applyNumberFormat="1" applyFont="1" applyFill="1" applyBorder="1"/>
    <x:xf numFmtId="0" fontId="14" fillId="6" borderId="7" xfId="0" applyNumberFormat="1" applyFont="1" applyFill="1" applyBorder="1"/>
    <x:xf numFmtId="0" fontId="14" fillId="6" borderId="8" xfId="0" applyNumberFormat="1" applyFont="1" applyFill="1" applyBorder="1"/>
    <x:xf numFmtId="203" fontId="14" fillId="6" borderId="1" xfId="0" applyNumberFormat="1" applyFont="1" applyFill="1" applyBorder="1"/>
    <x:xf numFmtId="203" fontId="14" fillId="6" borderId="2" xfId="0" applyNumberFormat="1" applyFont="1" applyFill="1" applyBorder="1"/>
    <x:xf numFmtId="203" fontId="14" fillId="6" borderId="3" xfId="0" applyNumberFormat="1" applyFont="1" applyFill="1" applyBorder="1"/>
    <x:xf numFmtId="203" fontId="14" fillId="6" borderId="4" xfId="0" applyNumberFormat="1" applyFont="1" applyFill="1" applyBorder="1"/>
    <x:xf numFmtId="203" fontId="14" fillId="6" borderId="0" xfId="0" applyNumberFormat="1" applyFont="1" applyFill="1" applyBorder="1"/>
    <x:xf numFmtId="203" fontId="14" fillId="6" borderId="5" xfId="0" applyNumberFormat="1" applyFont="1" applyFill="1" applyBorder="1"/>
    <x:xf numFmtId="203" fontId="14" fillId="6" borderId="6" xfId="0" applyNumberFormat="1" applyFont="1" applyFill="1" applyBorder="1"/>
    <x:xf numFmtId="203" fontId="14" fillId="6" borderId="7" xfId="0" applyNumberFormat="1" applyFont="1" applyFill="1" applyBorder="1"/>
    <x:xf numFmtId="203" fontId="14" fillId="6" borderId="8" xfId="0" applyNumberFormat="1" applyFont="1" applyFill="1" applyBorder="1"/>
    <x:xf numFmtId="203" fontId="14" fillId="6" borderId="1" xfId="0" applyNumberFormat="1" applyFont="1" applyFill="1" applyBorder="1" applyAlignment="1">
      <x:alignment vertical="center"/>
    </x:xf>
    <x:xf numFmtId="203" fontId="14" fillId="6" borderId="2" xfId="0" applyNumberFormat="1" applyFont="1" applyFill="1" applyBorder="1" applyAlignment="1">
      <x:alignment vertical="center"/>
    </x:xf>
    <x:xf numFmtId="203" fontId="14" fillId="6" borderId="3" xfId="0" applyNumberFormat="1" applyFont="1" applyFill="1" applyBorder="1" applyAlignment="1">
      <x:alignment vertical="center"/>
    </x:xf>
    <x:xf numFmtId="203" fontId="14" fillId="6" borderId="4" xfId="0" applyNumberFormat="1" applyFont="1" applyFill="1" applyBorder="1" applyAlignment="1">
      <x:alignment vertical="center"/>
    </x:xf>
    <x:xf numFmtId="203" fontId="14" fillId="6" borderId="0" xfId="0" applyNumberFormat="1" applyFont="1" applyFill="1" applyBorder="1" applyAlignment="1">
      <x:alignment vertical="center"/>
    </x:xf>
    <x:xf numFmtId="203" fontId="14" fillId="6" borderId="5" xfId="0" applyNumberFormat="1" applyFont="1" applyFill="1" applyBorder="1" applyAlignment="1">
      <x:alignment vertical="center"/>
    </x:xf>
    <x:xf numFmtId="203" fontId="14" fillId="6" borderId="6" xfId="0" applyNumberFormat="1" applyFont="1" applyFill="1" applyBorder="1" applyAlignment="1">
      <x:alignment vertical="center"/>
    </x:xf>
    <x:xf numFmtId="203" fontId="14" fillId="6" borderId="7" xfId="0" applyNumberFormat="1" applyFont="1" applyFill="1" applyBorder="1" applyAlignment="1">
      <x:alignment vertical="center"/>
    </x:xf>
    <x:xf numFmtId="203" fontId="14" fillId="6" borderId="8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/>
    <x:xf numFmtId="0" fontId="15" fillId="6" borderId="1" xfId="0" applyNumberFormat="1" applyFont="1" applyFill="1" applyBorder="1"/>
    <x:xf numFmtId="0" fontId="15" fillId="6" borderId="2" xfId="0" applyNumberFormat="1" applyFont="1" applyFill="1" applyBorder="1"/>
    <x:xf numFmtId="0" fontId="15" fillId="6" borderId="3" xfId="0" applyNumberFormat="1" applyFont="1" applyFill="1" applyBorder="1"/>
    <x:xf numFmtId="0" fontId="15" fillId="6" borderId="4" xfId="0" applyNumberFormat="1" applyFont="1" applyFill="1" applyBorder="1"/>
    <x:xf numFmtId="0" fontId="15" fillId="6" borderId="5" xfId="0" applyNumberFormat="1" applyFont="1" applyFill="1" applyBorder="1"/>
    <x:xf numFmtId="0" fontId="15" fillId="6" borderId="6" xfId="0" applyNumberFormat="1" applyFont="1" applyFill="1" applyBorder="1"/>
    <x:xf numFmtId="0" fontId="15" fillId="6" borderId="7" xfId="0" applyNumberFormat="1" applyFont="1" applyFill="1" applyBorder="1"/>
    <x:xf numFmtId="0" fontId="15" fillId="6" borderId="8" xfId="0" applyNumberFormat="1" applyFont="1" applyFill="1" applyBorder="1"/>
    <x:xf numFmtId="203" fontId="15" fillId="6" borderId="1" xfId="0" applyNumberFormat="1" applyFont="1" applyFill="1" applyBorder="1"/>
    <x:xf numFmtId="203" fontId="15" fillId="6" borderId="2" xfId="0" applyNumberFormat="1" applyFont="1" applyFill="1" applyBorder="1"/>
    <x:xf numFmtId="203" fontId="15" fillId="6" borderId="3" xfId="0" applyNumberFormat="1" applyFont="1" applyFill="1" applyBorder="1"/>
    <x:xf numFmtId="203" fontId="15" fillId="6" borderId="4" xfId="0" applyNumberFormat="1" applyFont="1" applyFill="1" applyBorder="1"/>
    <x:xf numFmtId="203" fontId="15" fillId="6" borderId="0" xfId="0" applyNumberFormat="1" applyFont="1" applyFill="1" applyBorder="1"/>
    <x:xf numFmtId="203" fontId="15" fillId="6" borderId="5" xfId="0" applyNumberFormat="1" applyFont="1" applyFill="1" applyBorder="1"/>
    <x:xf numFmtId="203" fontId="15" fillId="6" borderId="6" xfId="0" applyNumberFormat="1" applyFont="1" applyFill="1" applyBorder="1"/>
    <x:xf numFmtId="203" fontId="15" fillId="6" borderId="7" xfId="0" applyNumberFormat="1" applyFont="1" applyFill="1" applyBorder="1"/>
    <x:xf numFmtId="203" fontId="15" fillId="6" borderId="8" xfId="0" applyNumberFormat="1" applyFont="1" applyFill="1" applyBorder="1"/>
    <x:xf numFmtId="203" fontId="15" fillId="6" borderId="1" xfId="0" applyNumberFormat="1" applyFont="1" applyFill="1" applyBorder="1" applyAlignment="1">
      <x:alignment vertical="center"/>
    </x:xf>
    <x:xf numFmtId="203" fontId="15" fillId="6" borderId="2" xfId="0" applyNumberFormat="1" applyFont="1" applyFill="1" applyBorder="1" applyAlignment="1">
      <x:alignment vertical="center"/>
    </x:xf>
    <x:xf numFmtId="203" fontId="15" fillId="6" borderId="3" xfId="0" applyNumberFormat="1" applyFont="1" applyFill="1" applyBorder="1" applyAlignment="1">
      <x:alignment vertical="center"/>
    </x:xf>
    <x:xf numFmtId="203" fontId="15" fillId="6" borderId="4" xfId="0" applyNumberFormat="1" applyFont="1" applyFill="1" applyBorder="1" applyAlignment="1">
      <x:alignment vertical="center"/>
    </x:xf>
    <x:xf numFmtId="203" fontId="15" fillId="6" borderId="0" xfId="0" applyNumberFormat="1" applyFont="1" applyFill="1" applyBorder="1" applyAlignment="1">
      <x:alignment vertical="center"/>
    </x:xf>
    <x:xf numFmtId="203" fontId="15" fillId="6" borderId="5" xfId="0" applyNumberFormat="1" applyFont="1" applyFill="1" applyBorder="1" applyAlignment="1">
      <x:alignment vertical="center"/>
    </x:xf>
    <x:xf numFmtId="203" fontId="15" fillId="6" borderId="6" xfId="0" applyNumberFormat="1" applyFont="1" applyFill="1" applyBorder="1" applyAlignment="1">
      <x:alignment vertical="center"/>
    </x:xf>
    <x:xf numFmtId="203" fontId="15" fillId="6" borderId="7" xfId="0" applyNumberFormat="1" applyFont="1" applyFill="1" applyBorder="1" applyAlignment="1">
      <x:alignment vertical="center"/>
    </x:xf>
    <x:xf numFmtId="203" fontId="15" fillId="6" borderId="8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/>
    <x:xf numFmtId="0" fontId="16" fillId="6" borderId="1" xfId="0" applyNumberFormat="1" applyFont="1" applyFill="1" applyBorder="1"/>
    <x:xf numFmtId="0" fontId="16" fillId="6" borderId="2" xfId="0" applyNumberFormat="1" applyFont="1" applyFill="1" applyBorder="1"/>
    <x:xf numFmtId="0" fontId="16" fillId="6" borderId="3" xfId="0" applyNumberFormat="1" applyFont="1" applyFill="1" applyBorder="1"/>
    <x:xf numFmtId="0" fontId="16" fillId="6" borderId="4" xfId="0" applyNumberFormat="1" applyFont="1" applyFill="1" applyBorder="1"/>
    <x:xf numFmtId="0" fontId="16" fillId="6" borderId="5" xfId="0" applyNumberFormat="1" applyFont="1" applyFill="1" applyBorder="1"/>
    <x:xf numFmtId="0" fontId="16" fillId="6" borderId="6" xfId="0" applyNumberFormat="1" applyFont="1" applyFill="1" applyBorder="1"/>
    <x:xf numFmtId="0" fontId="16" fillId="6" borderId="7" xfId="0" applyNumberFormat="1" applyFont="1" applyFill="1" applyBorder="1"/>
    <x:xf numFmtId="0" fontId="16" fillId="6" borderId="8" xfId="0" applyNumberFormat="1" applyFont="1" applyFill="1" applyBorder="1"/>
    <x:xf numFmtId="201" fontId="16" fillId="6" borderId="1" xfId="0" applyNumberFormat="1" applyFont="1" applyFill="1" applyBorder="1"/>
    <x:xf numFmtId="201" fontId="16" fillId="6" borderId="2" xfId="0" applyNumberFormat="1" applyFont="1" applyFill="1" applyBorder="1"/>
    <x:xf numFmtId="201" fontId="16" fillId="6" borderId="3" xfId="0" applyNumberFormat="1" applyFont="1" applyFill="1" applyBorder="1"/>
    <x:xf numFmtId="201" fontId="16" fillId="6" borderId="4" xfId="0" applyNumberFormat="1" applyFont="1" applyFill="1" applyBorder="1"/>
    <x:xf numFmtId="201" fontId="16" fillId="6" borderId="0" xfId="0" applyNumberFormat="1" applyFont="1" applyFill="1" applyBorder="1"/>
    <x:xf numFmtId="201" fontId="16" fillId="6" borderId="5" xfId="0" applyNumberFormat="1" applyFont="1" applyFill="1" applyBorder="1"/>
    <x:xf numFmtId="201" fontId="16" fillId="6" borderId="6" xfId="0" applyNumberFormat="1" applyFont="1" applyFill="1" applyBorder="1"/>
    <x:xf numFmtId="201" fontId="16" fillId="6" borderId="7" xfId="0" applyNumberFormat="1" applyFont="1" applyFill="1" applyBorder="1"/>
    <x:xf numFmtId="201" fontId="16" fillId="6" borderId="8" xfId="0" applyNumberFormat="1" applyFont="1" applyFill="1" applyBorder="1"/>
    <x:xf numFmtId="201" fontId="16" fillId="6" borderId="1" xfId="0" applyNumberFormat="1" applyFont="1" applyFill="1" applyBorder="1" applyAlignment="1">
      <x:alignment vertical="center"/>
    </x:xf>
    <x:xf numFmtId="201" fontId="16" fillId="6" borderId="2" xfId="0" applyNumberFormat="1" applyFont="1" applyFill="1" applyBorder="1" applyAlignment="1">
      <x:alignment vertical="center"/>
    </x:xf>
    <x:xf numFmtId="201" fontId="16" fillId="6" borderId="3" xfId="0" applyNumberFormat="1" applyFont="1" applyFill="1" applyBorder="1" applyAlignment="1">
      <x:alignment vertical="center"/>
    </x:xf>
    <x:xf numFmtId="201" fontId="16" fillId="6" borderId="4" xfId="0" applyNumberFormat="1" applyFont="1" applyFill="1" applyBorder="1" applyAlignment="1">
      <x:alignment vertical="center"/>
    </x:xf>
    <x:xf numFmtId="201" fontId="16" fillId="6" borderId="0" xfId="0" applyNumberFormat="1" applyFont="1" applyFill="1" applyBorder="1" applyAlignment="1">
      <x:alignment vertical="center"/>
    </x:xf>
    <x:xf numFmtId="201" fontId="16" fillId="6" borderId="5" xfId="0" applyNumberFormat="1" applyFont="1" applyFill="1" applyBorder="1" applyAlignment="1">
      <x:alignment vertical="center"/>
    </x:xf>
    <x:xf numFmtId="201" fontId="16" fillId="6" borderId="6" xfId="0" applyNumberFormat="1" applyFont="1" applyFill="1" applyBorder="1" applyAlignment="1">
      <x:alignment vertical="center"/>
    </x:xf>
    <x:xf numFmtId="201" fontId="16" fillId="6" borderId="7" xfId="0" applyNumberFormat="1" applyFont="1" applyFill="1" applyBorder="1" applyAlignment="1">
      <x:alignment vertical="center"/>
    </x:xf>
    <x:xf numFmtId="201" fontId="16" fillId="6" borderId="8" xfId="0" applyNumberFormat="1" applyFont="1" applyFill="1" applyBorder="1" applyAlignment="1">
      <x:alignment vertical="center"/>
    </x:xf>
    <x:xf numFmtId="0" fontId="17" fillId="6" borderId="0" xfId="0" applyNumberFormat="1" applyFont="1" applyFill="1" applyBorder="1"/>
    <x:xf numFmtId="0" fontId="17" fillId="6" borderId="1" xfId="0" applyNumberFormat="1" applyFont="1" applyFill="1" applyBorder="1"/>
    <x:xf numFmtId="0" fontId="17" fillId="6" borderId="2" xfId="0" applyNumberFormat="1" applyFont="1" applyFill="1" applyBorder="1"/>
    <x:xf numFmtId="0" fontId="17" fillId="6" borderId="3" xfId="0" applyNumberFormat="1" applyFont="1" applyFill="1" applyBorder="1"/>
    <x:xf numFmtId="0" fontId="17" fillId="6" borderId="4" xfId="0" applyNumberFormat="1" applyFont="1" applyFill="1" applyBorder="1"/>
    <x:xf numFmtId="0" fontId="17" fillId="6" borderId="5" xfId="0" applyNumberFormat="1" applyFont="1" applyFill="1" applyBorder="1"/>
    <x:xf numFmtId="0" fontId="17" fillId="6" borderId="6" xfId="0" applyNumberFormat="1" applyFont="1" applyFill="1" applyBorder="1"/>
    <x:xf numFmtId="0" fontId="17" fillId="6" borderId="7" xfId="0" applyNumberFormat="1" applyFont="1" applyFill="1" applyBorder="1"/>
    <x:xf numFmtId="0" fontId="17" fillId="6" borderId="8" xfId="0" applyNumberFormat="1" applyFont="1" applyFill="1" applyBorder="1"/>
    <x:xf numFmtId="203" fontId="17" fillId="6" borderId="1" xfId="0" applyNumberFormat="1" applyFont="1" applyFill="1" applyBorder="1"/>
    <x:xf numFmtId="203" fontId="17" fillId="6" borderId="2" xfId="0" applyNumberFormat="1" applyFont="1" applyFill="1" applyBorder="1"/>
    <x:xf numFmtId="203" fontId="17" fillId="6" borderId="3" xfId="0" applyNumberFormat="1" applyFont="1" applyFill="1" applyBorder="1"/>
    <x:xf numFmtId="203" fontId="17" fillId="6" borderId="4" xfId="0" applyNumberFormat="1" applyFont="1" applyFill="1" applyBorder="1"/>
    <x:xf numFmtId="203" fontId="17" fillId="6" borderId="0" xfId="0" applyNumberFormat="1" applyFont="1" applyFill="1" applyBorder="1"/>
    <x:xf numFmtId="203" fontId="17" fillId="6" borderId="5" xfId="0" applyNumberFormat="1" applyFont="1" applyFill="1" applyBorder="1"/>
    <x:xf numFmtId="203" fontId="17" fillId="6" borderId="6" xfId="0" applyNumberFormat="1" applyFont="1" applyFill="1" applyBorder="1"/>
    <x:xf numFmtId="203" fontId="17" fillId="6" borderId="7" xfId="0" applyNumberFormat="1" applyFont="1" applyFill="1" applyBorder="1"/>
    <x:xf numFmtId="203" fontId="17" fillId="6" borderId="8" xfId="0" applyNumberFormat="1" applyFont="1" applyFill="1" applyBorder="1"/>
    <x:xf numFmtId="203" fontId="17" fillId="6" borderId="1" xfId="0" applyNumberFormat="1" applyFont="1" applyFill="1" applyBorder="1" applyAlignment="1">
      <x:alignment vertical="center"/>
    </x:xf>
    <x:xf numFmtId="203" fontId="17" fillId="6" borderId="2" xfId="0" applyNumberFormat="1" applyFont="1" applyFill="1" applyBorder="1" applyAlignment="1">
      <x:alignment vertical="center"/>
    </x:xf>
    <x:xf numFmtId="203" fontId="17" fillId="6" borderId="3" xfId="0" applyNumberFormat="1" applyFont="1" applyFill="1" applyBorder="1" applyAlignment="1">
      <x:alignment vertical="center"/>
    </x:xf>
    <x:xf numFmtId="203" fontId="17" fillId="6" borderId="4" xfId="0" applyNumberFormat="1" applyFont="1" applyFill="1" applyBorder="1" applyAlignment="1">
      <x:alignment vertical="center"/>
    </x:xf>
    <x:xf numFmtId="203" fontId="17" fillId="6" borderId="0" xfId="0" applyNumberFormat="1" applyFont="1" applyFill="1" applyBorder="1" applyAlignment="1">
      <x:alignment vertical="center"/>
    </x:xf>
    <x:xf numFmtId="203" fontId="17" fillId="6" borderId="5" xfId="0" applyNumberFormat="1" applyFont="1" applyFill="1" applyBorder="1" applyAlignment="1">
      <x:alignment vertical="center"/>
    </x:xf>
    <x:xf numFmtId="203" fontId="17" fillId="6" borderId="6" xfId="0" applyNumberFormat="1" applyFont="1" applyFill="1" applyBorder="1" applyAlignment="1">
      <x:alignment vertical="center"/>
    </x:xf>
    <x:xf numFmtId="203" fontId="17" fillId="6" borderId="7" xfId="0" applyNumberFormat="1" applyFont="1" applyFill="1" applyBorder="1" applyAlignment="1">
      <x:alignment vertical="center"/>
    </x:xf>
    <x:xf numFmtId="203" fontId="17" fillId="6" borderId="8" xfId="0" applyNumberFormat="1" applyFont="1" applyFill="1" applyBorder="1" applyAlignment="1">
      <x:alignment vertical="center"/>
    </x:xf>
    <x:xf numFmtId="0" fontId="18" fillId="5" borderId="0" xfId="0" applyNumberFormat="1" applyFont="1" applyFill="1" applyBorder="1"/>
    <x:xf numFmtId="0" fontId="18" fillId="5" borderId="9" xfId="0" applyNumberFormat="1" applyFont="1" applyFill="1" applyBorder="1"/>
    <x:xf numFmtId="0" fontId="18" fillId="5" borderId="10" xfId="0" applyNumberFormat="1" applyFont="1" applyFill="1" applyBorder="1"/>
    <x:xf numFmtId="0" fontId="18" fillId="5" borderId="11" xfId="0" applyNumberFormat="1" applyFont="1" applyFill="1" applyBorder="1"/>
    <x:xf numFmtId="0" fontId="18" fillId="5" borderId="12" xfId="0" applyNumberFormat="1" applyFont="1" applyFill="1" applyBorder="1"/>
    <x:xf numFmtId="0" fontId="18" fillId="5" borderId="13" xfId="0" applyNumberFormat="1" applyFont="1" applyFill="1" applyBorder="1"/>
    <x:xf numFmtId="0" fontId="18" fillId="5" borderId="14" xfId="0" applyNumberFormat="1" applyFont="1" applyFill="1" applyBorder="1"/>
    <x:xf numFmtId="0" fontId="18" fillId="5" borderId="15" xfId="0" applyNumberFormat="1" applyFont="1" applyFill="1" applyBorder="1"/>
    <x:xf numFmtId="0" fontId="18" fillId="5" borderId="16" xfId="0" applyNumberFormat="1" applyFont="1" applyFill="1" applyBorder="1"/>
    <x:xf numFmtId="0" fontId="18" fillId="5" borderId="9" xfId="0" applyNumberFormat="1" applyFont="1" applyFill="1" applyBorder="1" applyAlignment="1">
      <x:alignment wrapText="1"/>
    </x:xf>
    <x:xf numFmtId="0" fontId="18" fillId="5" borderId="10" xfId="0" applyNumberFormat="1" applyFont="1" applyFill="1" applyBorder="1" applyAlignment="1">
      <x:alignment wrapText="1"/>
    </x:xf>
    <x:xf numFmtId="0" fontId="18" fillId="5" borderId="11" xfId="0" applyNumberFormat="1" applyFont="1" applyFill="1" applyBorder="1" applyAlignment="1">
      <x:alignment wrapText="1"/>
    </x:xf>
    <x:xf numFmtId="0" fontId="18" fillId="5" borderId="12" xfId="0" applyNumberFormat="1" applyFont="1" applyFill="1" applyBorder="1" applyAlignment="1">
      <x:alignment wrapText="1"/>
    </x:xf>
    <x:xf numFmtId="0" fontId="18" fillId="5" borderId="0" xfId="0" applyNumberFormat="1" applyFont="1" applyFill="1" applyBorder="1" applyAlignment="1">
      <x:alignment wrapText="1"/>
    </x:xf>
    <x:xf numFmtId="0" fontId="18" fillId="5" borderId="13" xfId="0" applyNumberFormat="1" applyFont="1" applyFill="1" applyBorder="1" applyAlignment="1">
      <x:alignment wrapText="1"/>
    </x:xf>
    <x:xf numFmtId="0" fontId="18" fillId="5" borderId="14" xfId="0" applyNumberFormat="1" applyFont="1" applyFill="1" applyBorder="1" applyAlignment="1">
      <x:alignment wrapText="1"/>
    </x:xf>
    <x:xf numFmtId="0" fontId="18" fillId="5" borderId="15" xfId="0" applyNumberFormat="1" applyFont="1" applyFill="1" applyBorder="1" applyAlignment="1">
      <x:alignment wrapText="1"/>
    </x:xf>
    <x:xf numFmtId="0" fontId="18" fillId="5" borderId="16" xfId="0" applyNumberFormat="1" applyFont="1" applyFill="1" applyBorder="1" applyAlignment="1">
      <x:alignment wrapText="1"/>
    </x:xf>
    <x:xf numFmtId="0" fontId="18" fillId="5" borderId="9" xfId="0" applyNumberFormat="1" applyFont="1" applyFill="1" applyBorder="1" applyAlignment="1">
      <x:alignment vertical="center" wrapText="1"/>
    </x:xf>
    <x:xf numFmtId="0" fontId="18" fillId="5" borderId="10" xfId="0" applyNumberFormat="1" applyFont="1" applyFill="1" applyBorder="1" applyAlignment="1">
      <x:alignment vertical="center" wrapText="1"/>
    </x:xf>
    <x:xf numFmtId="0" fontId="18" fillId="5" borderId="11" xfId="0" applyNumberFormat="1" applyFont="1" applyFill="1" applyBorder="1" applyAlignment="1">
      <x:alignment vertical="center" wrapText="1"/>
    </x:xf>
    <x:xf numFmtId="0" fontId="18" fillId="5" borderId="12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 applyAlignment="1">
      <x:alignment vertical="center" wrapText="1"/>
    </x:xf>
    <x:xf numFmtId="0" fontId="18" fillId="5" borderId="13" xfId="0" applyNumberFormat="1" applyFont="1" applyFill="1" applyBorder="1" applyAlignment="1">
      <x:alignment vertical="center" wrapText="1"/>
    </x:xf>
    <x:xf numFmtId="0" fontId="18" fillId="5" borderId="14" xfId="0" applyNumberFormat="1" applyFont="1" applyFill="1" applyBorder="1" applyAlignment="1">
      <x:alignment vertical="center" wrapText="1"/>
    </x:xf>
    <x:xf numFmtId="0" fontId="18" fillId="5" borderId="15" xfId="0" applyNumberFormat="1" applyFont="1" applyFill="1" applyBorder="1" applyAlignment="1">
      <x:alignment vertical="center" wrapText="1"/>
    </x:xf>
    <x:xf numFmtId="0" fontId="18" fillId="5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18A558"/>
      </x:font>
      <x:fill>
        <x:patternFill patternType="solid">
          <x:bgColor rgb="FFE8F7EE"/>
        </x:patternFill>
      </x:fill>
    </x:dxf>
    <x:dxf>
      <x:font>
        <x:b/>
        <x:color rgb="FF18A558"/>
      </x:font>
      <x:fill>
        <x:patternFill patternType="solid">
          <x:bgColor rgb="FFE8F7EE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18A558"/>
      </x:font>
      <x:fill>
        <x:patternFill patternType="solid">
          <x:bgColor rgb="FFE8F7EE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36136b6794c16" /><Relationship Type="http://schemas.openxmlformats.org/officeDocument/2006/relationships/theme" Target="/xl/theme/theme1.xml" Id="Rc7948670c7df4c61" /><Relationship Type="http://schemas.microsoft.com/office/2022/11/relationships/FeaturePropertyBag" Target="/xl/featurePropertyBag/featurePropertyBag.xml" Id="Rc8caaa5bb5c8438c" /><Relationship Type="http://schemas.openxmlformats.org/officeDocument/2006/relationships/sharedStrings" Target="/xl/sharedStrings.xml" Id="R55bebb03308d434c" /><Relationship Type="http://schemas.openxmlformats.org/officeDocument/2006/relationships/worksheet" Target="/xl/worksheets/sheet1.xml" Id="R889f40a35fc54f29" /><Relationship Type="http://schemas.openxmlformats.org/officeDocument/2006/relationships/worksheet" Target="/xl/worksheets/sheet2.xml" Id="R26ae0046b5224cb9" /><Relationship Type="http://schemas.openxmlformats.org/officeDocument/2006/relationships/worksheet" Target="/xl/worksheets/sheet3.xml" Id="Ra0ffc1e4702e4295" /><Relationship Type="http://schemas.openxmlformats.org/officeDocument/2006/relationships/worksheet" Target="/xl/worksheets/sheet4.xml" Id="Re56ce77548f24e7b" /><Relationship Type="http://schemas.openxmlformats.org/officeDocument/2006/relationships/worksheet" Target="/xl/worksheets/sheet5.xml" Id="Rdb272fcd567e4836" /><Relationship Type="http://schemas.openxmlformats.org/officeDocument/2006/relationships/worksheet" Target="/xl/worksheets/sheet6.xml" Id="Rf4d48fc2671a43ea" /><Relationship Type="http://schemas.openxmlformats.org/officeDocument/2006/relationships/worksheet" Target="/xl/worksheets/sheet7.xml" Id="R07aa5b8e01fc4d42" /><Relationship Type="http://schemas.openxmlformats.org/officeDocument/2006/relationships/worksheet" Target="/xl/worksheets/sheet8.xml" Id="Re26db438f38e4c7d" /><Relationship Type="http://schemas.openxmlformats.org/officeDocument/2006/relationships/worksheet" Target="/xl/worksheets/sheet9.xml" Id="R69c4d3463d704b4a" /><Relationship Type="http://schemas.openxmlformats.org/officeDocument/2006/relationships/worksheet" Target="/xl/worksheets/sheet10.xml" Id="R672690ef5e9f41bd" /><Relationship Type="http://schemas.openxmlformats.org/officeDocument/2006/relationships/worksheet" Target="/xl/worksheets/sheet11.xml" Id="R27662102f73442b1" /><Relationship Type="http://schemas.openxmlformats.org/officeDocument/2006/relationships/worksheet" Target="/xl/worksheets/sheet12.xml" Id="R0b7b0fd24ebb4aa5" /><Relationship Type="http://schemas.openxmlformats.org/officeDocument/2006/relationships/worksheet" Target="/xl/worksheets/sheet13.xml" Id="R4be30c1e51df4313" /><Relationship Type="http://schemas.openxmlformats.org/officeDocument/2006/relationships/worksheet" Target="/xl/worksheets/sheet14.xml" Id="R78b3b0a3bfe54fbf" /><Relationship Type="http://schemas.openxmlformats.org/officeDocument/2006/relationships/worksheet" Target="/xl/worksheets/sheet15.xml" Id="Re761db4b9e2d45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c1622c6ac1494f" /><Relationship Type="http://schemas.openxmlformats.org/officeDocument/2006/relationships/chart" Target="/xl/drawings/charts/chart2.xml" Id="R99f423d4c71e43e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8dba65896de4e2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9b9418525da473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cf49b01f24249a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99c38fa60f642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Revenue | 2023-2025</a:t>
            </a:r>
          </a:p>
        </c:rich>
      </c:tx>
    </c:title>
    <c:plotArea>
      <c:lineChart>
        <c:grouping val="standard"/>
        <c:ser>
          <c:idx val="0"/>
          <c:order val="0"/>
          <c:tx>
            <c:v>NetRevenueTRY</c:v>
          </c:tx>
          <c:marker>
            <c:symbol val="none"/>
          </c:marker>
          <c:cat>
            <c:strRef>
              <c:f>'Dashboard Data'!$A$6:$A$41</c:f>
              <c:strCache>
                <c:ptCount val="0"/>
              </c:strCache>
            </c:strRef>
          </c:cat>
          <c:val>
            <c:numRef>
              <c:f>'Dashboard Data'!$B$6:$B$41</c:f>
              <c:numCache>
                <c:formatCode>₺#,##0;[Red]-₺#,##0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Historical Revenue</c:v>
          </c:tx>
          <c:cat>
            <c:strRef>
              <c:f>'Dashboard Data'!$D$6:$D$11</c:f>
              <c:strCache>
                <c:ptCount val="0"/>
              </c:strCache>
            </c:strRef>
          </c:cat>
          <c:val>
            <c:numRef>
              <c:f>'Dashboard Data'!$E$6:$E$11</c:f>
              <c:numCache>
                <c:formatCode>₺#,##0;[Red]-₺#,##0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vs Inventory Investment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Forecast Revenue</c:v>
          </c:tx>
          <c:cat>
            <c:strRef>
              <c:f>'Scenario Planner'!$F$7:$F$10</c:f>
              <c:strCache>
                <c:ptCount val="0"/>
              </c:strCache>
            </c:strRef>
          </c:cat>
          <c:val>
            <c:numRef>
              <c:f>'Scenario Planner'!$G$7:$G$10</c:f>
              <c:numCache>
                <c:formatCode>₺#,##0;[Red]-₺#,##0</c:formatCode>
                <c:ptCount val="0"/>
              </c:numCache>
            </c:numRef>
          </c:val>
        </c:ser>
        <c:ser>
          <c:idx val="1"/>
          <c:order val="1"/>
          <c:tx>
            <c:v>Inventory Investment</c:v>
          </c:tx>
          <c:cat>
            <c:strRef>
              <c:f>'Scenario Planner'!$F$7:$F$10</c:f>
              <c:strCache>
                <c:ptCount val="0"/>
              </c:strCache>
            </c:strRef>
          </c:cat>
          <c:val>
            <c:numRef>
              <c:f>'Scenario Planner'!$H$7:$H$10</c:f>
              <c:numCache>
                <c:formatCode>₺#,##0;[Red]-₺#,##0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Champion Model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Champion SKUs</c:v>
          </c:tx>
          <c:cat>
            <c:strRef>
              <c:f>'Forecast Accuracy'!$H$6:$H$8</c:f>
              <c:strCache>
                <c:ptCount val="0"/>
              </c:strCache>
            </c:strRef>
          </c:cat>
          <c:val>
            <c:numRef>
              <c:f>'Forecast Accuracy'!$I$6:$I$8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and Gross Profit</a:t>
            </a:r>
          </a:p>
        </c:rich>
      </c:tx>
    </c:title>
    <c:plotArea>
      <c:lineChart>
        <c:grouping val="standard"/>
        <c:ser>
          <c:idx val="0"/>
          <c:order val="0"/>
          <c:tx>
            <c:v>EstimatedDemandUnits</c:v>
          </c:tx>
          <c:marker>
            <c:symbol val="none"/>
          </c:marker>
          <c:cat>
            <c:strRef>
              <c:f>'Monthly Performance'!$A$6:$A$41</c:f>
              <c:strCache>
                <c:ptCount val="0"/>
              </c:strCache>
            </c:strRef>
          </c:cat>
          <c:val>
            <c:numRef>
              <c:f>'Monthly Performance'!$B$6:$B$41</c:f>
              <c:numCache>
                <c:formatCode>₺0,,"M"</c:formatCode>
                <c:ptCount val="0"/>
              </c:numCache>
            </c:numRef>
          </c:val>
        </c:ser>
        <c:ser>
          <c:idx val="1"/>
          <c:order val="1"/>
          <c:tx>
            <c:v>UnitsSold</c:v>
          </c:tx>
          <c:marker>
            <c:symbol val="none"/>
          </c:marker>
          <c:cat>
            <c:strRef>
              <c:f>'Monthly Performance'!$A$6:$A$41</c:f>
              <c:strCache>
                <c:ptCount val="0"/>
              </c:strCache>
            </c:strRef>
          </c:cat>
          <c:val>
            <c:numRef>
              <c:f>'Monthly Performance'!$C$6:$C$41</c:f>
              <c:numCache>
                <c:formatCode>₺0,,"M"</c:formatCode>
                <c:ptCount val="0"/>
              </c:numCache>
            </c:numRef>
          </c:val>
        </c:ser>
        <c:ser>
          <c:idx val="2"/>
          <c:order val="2"/>
          <c:tx>
            <c:v>LostSalesUnits</c:v>
          </c:tx>
          <c:marker>
            <c:symbol val="none"/>
          </c:marker>
          <c:cat>
            <c:strRef>
              <c:f>'Monthly Performance'!$A$6:$A$41</c:f>
              <c:strCache>
                <c:ptCount val="0"/>
              </c:strCache>
            </c:strRef>
          </c:cat>
          <c:val>
            <c:numRef>
              <c:f>'Monthly Performance'!$D$6:$D$41</c:f>
              <c:numCache>
                <c:formatCode>₺0,,"M"</c:formatCode>
                <c:ptCount val="0"/>
              </c:numCache>
            </c:numRef>
          </c:val>
        </c:ser>
        <c:ser>
          <c:idx val="3"/>
          <c:order val="3"/>
          <c:tx>
            <c:v>NetRevenueTRY</c:v>
          </c:tx>
          <c:marker>
            <c:symbol val="none"/>
          </c:marker>
          <c:cat>
            <c:strRef>
              <c:f>'Monthly Performance'!$A$6:$A$41</c:f>
              <c:strCache>
                <c:ptCount val="0"/>
              </c:strCache>
            </c:strRef>
          </c:cat>
          <c:val>
            <c:numRef>
              <c:f>'Monthly Performance'!$E$6:$E$41</c:f>
              <c:numCache>
                <c:formatCode>₺#,##0;[Red]-₺#,##0</c:formatCode>
                <c:ptCount val="0"/>
              </c:numCache>
            </c:numRef>
          </c:val>
        </c:ser>
        <c:ser>
          <c:idx val="4"/>
          <c:order val="4"/>
          <c:tx>
            <c:v>GrossProfitTRY</c:v>
          </c:tx>
          <c:marker>
            <c:symbol val="none"/>
          </c:marker>
          <c:cat>
            <c:strRef>
              <c:f>'Monthly Performance'!$A$6:$A$41</c:f>
              <c:strCache>
                <c:ptCount val="0"/>
              </c:strCache>
            </c:strRef>
          </c:cat>
          <c:val>
            <c:numRef>
              <c:f>'Monthly Performance'!$F$6:$F$41</c:f>
              <c:numCache>
                <c:formatCode>₺#,##0;[Red]-₺#,##0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Supplier Purchase Value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PurchaseOrders</c:v>
          </c:tx>
          <c:cat>
            <c:strRef>
              <c:f>'Supplier Scorecard'!$A$6:$A$13</c:f>
              <c:strCache>
                <c:ptCount val="0"/>
              </c:strCache>
            </c:strRef>
          </c:cat>
          <c:val>
            <c:numRef>
              <c:f>'Supplier Scorecard'!$B$6:$B$13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OrderedUnits</c:v>
          </c:tx>
          <c:cat>
            <c:strRef>
              <c:f>'Supplier Scorecard'!$A$6:$A$13</c:f>
              <c:strCache>
                <c:ptCount val="0"/>
              </c:strCache>
            </c:strRef>
          </c:cat>
          <c:val>
            <c:numRef>
              <c:f>'Supplier Scorecard'!$C$6:$C$13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PurchaseValueTRY</c:v>
          </c:tx>
          <c:cat>
            <c:strRef>
              <c:f>'Supplier Scorecard'!$A$6:$A$13</c:f>
              <c:strCache>
                <c:ptCount val="0"/>
              </c:strCache>
            </c:strRef>
          </c:cat>
          <c:val>
            <c:numRef>
              <c:f>'Supplier Scorecard'!$D$6:$D$13</c:f>
              <c:numCache>
                <c:formatCode>₺#,##0</c:formatCode>
                <c:ptCount val="0"/>
              </c:numCache>
            </c:numRef>
          </c:val>
        </c:ser>
        <c:ser>
          <c:idx val="3"/>
          <c:order val="3"/>
          <c:tx>
            <c:v>AverageActualLeadTimeDays</c:v>
          </c:tx>
          <c:cat>
            <c:strRef>
              <c:f>'Supplier Scorecard'!$A$6:$A$13</c:f>
              <c:strCache>
                <c:ptCount val="0"/>
              </c:strCache>
            </c:strRef>
          </c:cat>
          <c:val>
            <c:numRef>
              <c:f>'Supplier Scorecard'!$E$6:$E$13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OnTimeDeliveryRate</c:v>
          </c:tx>
          <c:cat>
            <c:strRef>
              <c:f>'Supplier Scorecard'!$A$6:$A$13</c:f>
              <c:strCache>
                <c:ptCount val="0"/>
              </c:strCache>
            </c:strRef>
          </c:cat>
          <c:val>
            <c:numRef>
              <c:f>'Supplier Scorecard'!$F$6:$F$13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c1622c6ac1494f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f423d4c71e43e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dba65896de4e2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b9418525da473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14</xdr:col>
      <xdr:colOff>0</xdr:colOff>
      <xdr:row>4</xdr:row>
      <xdr:rowOff>0</xdr:rowOff>
    </xdr:from>
    <xdr:to>
      <xdr:col>23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f49b01f24249af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9c38fa60f642e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deb205838364c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6134e115ef642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59922497fa944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b49c3411e8fc46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561766ad77f249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4" customHeight="1">
      <x:c r="A1" s="4" t="str">
        <x:v>E-Commerce Demand Forecasting
&amp; Inventory Optimization Platform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4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15" hidden="0" customHeight="1">
      <x:c r="A5" s="7" t="str">
        <x:v>Professional Excel Scenario Planning &amp; KPI Dashboard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6" ht="24" customHeight="1"/>
    <x:row r="7" ht="24" customHeight="1">
      <x:c r="A7" s="27" t="str">
        <x:v>Purpose
Convert three years of synthetic fashion e-commerce history into 2026 demand forecasts, SKU-level replenishment priorities, and decision-ready inventory scenarios.</x:v>
      </x:c>
      <x:c r="B7" s="28"/>
      <x:c r="C7" s="28"/>
      <x:c r="D7" s="28"/>
      <x:c r="E7" s="28"/>
      <x:c r="F7" s="28"/>
      <x:c r="G7" s="28"/>
      <x:c r="H7" s="29"/>
      <x:c r="J7" s="55" t="str">
        <x:v>Portfolio Scope
• 60 SKUs
• 157 historical weeks
• 52 forecast weeks
• 3 forecasting models
• 4 inventory scenarios
• TRY currency</x:v>
      </x:c>
      <x:c r="K7" s="56"/>
      <x:c r="L7" s="56"/>
      <x:c r="M7" s="56"/>
      <x:c r="N7" s="57"/>
    </x:row>
    <x:row r="8" ht="24" customHeight="1">
      <x:c r="A8" s="30"/>
      <x:c r="B8" s="31"/>
      <x:c r="C8" s="31"/>
      <x:c r="D8" s="31"/>
      <x:c r="E8" s="31"/>
      <x:c r="F8" s="31"/>
      <x:c r="G8" s="31"/>
      <x:c r="H8" s="32"/>
      <x:c r="J8" s="58"/>
      <x:c r="K8" s="59"/>
      <x:c r="L8" s="59"/>
      <x:c r="M8" s="59"/>
      <x:c r="N8" s="60"/>
    </x:row>
    <x:row r="9" ht="24" customHeight="1">
      <x:c r="A9" s="30"/>
      <x:c r="B9" s="31"/>
      <x:c r="C9" s="31"/>
      <x:c r="D9" s="31"/>
      <x:c r="E9" s="31"/>
      <x:c r="F9" s="31"/>
      <x:c r="G9" s="31"/>
      <x:c r="H9" s="32"/>
      <x:c r="J9" s="58"/>
      <x:c r="K9" s="59"/>
      <x:c r="L9" s="59"/>
      <x:c r="M9" s="59"/>
      <x:c r="N9" s="60"/>
    </x:row>
    <x:row r="10" ht="24" customHeight="1">
      <x:c r="A10" s="30"/>
      <x:c r="B10" s="31"/>
      <x:c r="C10" s="31"/>
      <x:c r="D10" s="31"/>
      <x:c r="E10" s="31"/>
      <x:c r="F10" s="31"/>
      <x:c r="G10" s="31"/>
      <x:c r="H10" s="32"/>
      <x:c r="J10" s="58"/>
      <x:c r="K10" s="59"/>
      <x:c r="L10" s="59"/>
      <x:c r="M10" s="59"/>
      <x:c r="N10" s="60"/>
    </x:row>
    <x:row r="11" ht="24" customHeight="1">
      <x:c r="A11" s="30"/>
      <x:c r="B11" s="31"/>
      <x:c r="C11" s="31"/>
      <x:c r="D11" s="31"/>
      <x:c r="E11" s="31"/>
      <x:c r="F11" s="31"/>
      <x:c r="G11" s="31"/>
      <x:c r="H11" s="32"/>
      <x:c r="J11" s="58"/>
      <x:c r="K11" s="59"/>
      <x:c r="L11" s="59"/>
      <x:c r="M11" s="59"/>
      <x:c r="N11" s="60"/>
    </x:row>
    <x:row r="12" ht="24" customHeight="1">
      <x:c r="A12" s="33"/>
      <x:c r="B12" s="34"/>
      <x:c r="C12" s="34"/>
      <x:c r="D12" s="34"/>
      <x:c r="E12" s="34"/>
      <x:c r="F12" s="34"/>
      <x:c r="G12" s="34"/>
      <x:c r="H12" s="35"/>
      <x:c r="J12" s="61"/>
      <x:c r="K12" s="62"/>
      <x:c r="L12" s="62"/>
      <x:c r="M12" s="62"/>
      <x:c r="N12" s="63"/>
    </x:row>
    <x:row r="13" ht="24" customHeight="1"/>
    <x:row r="14" ht="24" customHeight="1">
      <x:c r="A14" s="66" t="str">
        <x:v>Prepared by Murat Miraç Gedik  |  MonacoLuxe-inspired synthetic portfolio data  |  July 2026</x:v>
      </x:c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</x:row>
    <x:row r="15" ht="24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</x:row>
    <x:row r="16" ht="24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</x:row>
  </x:sheetData>
  <x:mergeCells>
    <x:mergeCell ref="A1:N4"/>
    <x:mergeCell ref="A5:N5"/>
    <x:mergeCell ref="A7:H12"/>
    <x:mergeCell ref="J7:N12"/>
    <x:mergeCell ref="A14:N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5" customHeight="1">
      <x:c r="A1" s="68" t="str">
        <x:v>Executive Dashboard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</x:row>
    <x:row r="2" ht="25" customHeight="1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</x:row>
    <x:row r="3" ht="15" hidden="0" customHeight="1">
      <x:c r="A3" s="71" t="str">
        <x:v>Historical performance, 2026 outlook, forecast accuracy, and replenishment exposure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/>
    <x:row r="5" ht="15" hidden="0" customHeight="1">
      <x:c r="A5" s="101" t="str">
        <x:v>Historical Revenue (TRY M)</x:v>
      </x:c>
      <x:c r="B5" s="102"/>
      <x:c r="C5" s="103"/>
      <x:c r="D5" s="101" t="str">
        <x:v>2026 Forecast Revenue (TRY M)</x:v>
      </x:c>
      <x:c r="E5" s="102"/>
      <x:c r="F5" s="103"/>
      <x:c r="G5" s="101" t="str">
        <x:v>Average Champion WAPE</x:v>
      </x:c>
      <x:c r="H5" s="102"/>
      <x:c r="I5" s="103"/>
      <x:c r="J5" s="101" t="str">
        <x:v>Recommended Investment (TRY M)</x:v>
      </x:c>
      <x:c r="K5" s="102"/>
      <x:c r="L5" s="103"/>
    </x:row>
    <x:row r="6">
      <x:c r="A6" s="122" t="n">
        <x:f>SUM('Monthly Performance'!E6:E41)/1000000</x:f>
        <x:v>891.7243585</x:v>
      </x:c>
      <x:c r="B6" s="123"/>
      <x:c r="C6" s="124"/>
      <x:c r="D6" s="149" t="n">
        <x:f>SUM('Forecast Data'!F6:F77)/1000000</x:f>
        <x:v>397.83212374000004</x:v>
      </x:c>
      <x:c r="E6" s="150"/>
      <x:c r="F6" s="151"/>
      <x:c r="G6" s="176" t="n">
        <x:f>AVERAGE('Forecast Accuracy'!D6:D65)</x:f>
        <x:v>0.1573411</x:v>
      </x:c>
      <x:c r="H6" s="177"/>
      <x:c r="I6" s="178"/>
      <x:c r="J6" s="203" t="n">
        <x:f>SUM('Replenishment'!S6:S65)/1000000</x:f>
        <x:v>5.329322899999999</x:v>
      </x:c>
      <x:c r="K6" s="204"/>
      <x:c r="L6" s="205"/>
    </x:row>
    <x:row r="7">
      <x:c r="A7" s="125"/>
      <x:c r="B7" s="126"/>
      <x:c r="C7" s="127"/>
      <x:c r="D7" s="152"/>
      <x:c r="E7" s="153"/>
      <x:c r="F7" s="154"/>
      <x:c r="G7" s="179"/>
      <x:c r="H7" s="180"/>
      <x:c r="I7" s="181"/>
      <x:c r="J7" s="206"/>
      <x:c r="K7" s="207"/>
      <x:c r="L7" s="208"/>
    </x:row>
    <x:row r="8">
      <x:c r="A8" s="128"/>
      <x:c r="B8" s="129"/>
      <x:c r="C8" s="130"/>
      <x:c r="D8" s="155"/>
      <x:c r="E8" s="156"/>
      <x:c r="F8" s="157"/>
      <x:c r="G8" s="182"/>
      <x:c r="H8" s="183"/>
      <x:c r="I8" s="184"/>
      <x:c r="J8" s="209"/>
      <x:c r="K8" s="210"/>
      <x:c r="L8" s="211"/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 ht="15" hidden="0" customHeight="1">
      <x:c r="A31" s="90" t="str">
        <x:v>Executive Decision Summary</x:v>
      </x:c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90"/>
      <x:c r="M31" s="90"/>
      <x:c r="N31" s="90"/>
    </x:row>
    <x:row r="32">
      <x:c r="A32" s="230" t="str">
        <x:v>Base scenario recommends action on 10 SKUs. The selected forecast model averages 15.7% WAPE across the portfolio. Use the Scenario Planner to test growth, lean, and supplier-disruption assumptions against the TRY 15M inventory budget.</x:v>
      </x:c>
      <x:c r="B32" s="231"/>
      <x:c r="C32" s="231"/>
      <x:c r="D32" s="231"/>
      <x:c r="E32" s="231"/>
      <x:c r="F32" s="231"/>
      <x:c r="G32" s="231"/>
      <x:c r="H32" s="231"/>
      <x:c r="I32" s="231"/>
      <x:c r="J32" s="231"/>
      <x:c r="K32" s="231"/>
      <x:c r="L32" s="231"/>
      <x:c r="M32" s="231"/>
      <x:c r="N32" s="232"/>
    </x:row>
    <x:row r="33">
      <x:c r="A33" s="233"/>
      <x:c r="B33" s="234"/>
      <x:c r="C33" s="234"/>
      <x:c r="D33" s="234"/>
      <x:c r="E33" s="234"/>
      <x:c r="F33" s="234"/>
      <x:c r="G33" s="234"/>
      <x:c r="H33" s="234"/>
      <x:c r="I33" s="234"/>
      <x:c r="J33" s="234"/>
      <x:c r="K33" s="234"/>
      <x:c r="L33" s="234"/>
      <x:c r="M33" s="234"/>
      <x:c r="N33" s="235"/>
    </x:row>
    <x:row r="34">
      <x:c r="A34" s="233"/>
      <x:c r="B34" s="234"/>
      <x:c r="C34" s="234"/>
      <x:c r="D34" s="234"/>
      <x:c r="E34" s="234"/>
      <x:c r="F34" s="234"/>
      <x:c r="G34" s="234"/>
      <x:c r="H34" s="234"/>
      <x:c r="I34" s="234"/>
      <x:c r="J34" s="234"/>
      <x:c r="K34" s="234"/>
      <x:c r="L34" s="234"/>
      <x:c r="M34" s="234"/>
      <x:c r="N34" s="235"/>
    </x:row>
    <x:row r="35">
      <x:c r="A35" s="233"/>
      <x:c r="B35" s="234"/>
      <x:c r="C35" s="234"/>
      <x:c r="D35" s="234"/>
      <x:c r="E35" s="234"/>
      <x:c r="F35" s="234"/>
      <x:c r="G35" s="234"/>
      <x:c r="H35" s="234"/>
      <x:c r="I35" s="234"/>
      <x:c r="J35" s="234"/>
      <x:c r="K35" s="234"/>
      <x:c r="L35" s="234"/>
      <x:c r="M35" s="234"/>
      <x:c r="N35" s="235"/>
    </x:row>
    <x:row r="36">
      <x:c r="A36" s="236"/>
      <x:c r="B36" s="237"/>
      <x:c r="C36" s="237"/>
      <x:c r="D36" s="237"/>
      <x:c r="E36" s="237"/>
      <x:c r="F36" s="237"/>
      <x:c r="G36" s="237"/>
      <x:c r="H36" s="237"/>
      <x:c r="I36" s="237"/>
      <x:c r="J36" s="237"/>
      <x:c r="K36" s="237"/>
      <x:c r="L36" s="237"/>
      <x:c r="M36" s="237"/>
      <x:c r="N36" s="238"/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A31:N31"/>
    <x:mergeCell ref="A32:N36"/>
  </x:mergeCells>
  <x:pageMargins left="0.7" right="0.7" top="0.75" bottom="0.75" header="0.3" footer="0.3"/>
  <x:drawing xmlns:r="http://schemas.openxmlformats.org/officeDocument/2006/relationships" r:id="Rbdeb205838364c3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1" hidden="0" customWidth="1"/>
    <x:col min="3" max="3" width="4" hidden="0" customWidth="1"/>
    <x:col min="4" max="4" width="4" hidden="0" customWidth="1"/>
    <x:col min="6" max="6" width="15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5" customHeight="1">
      <x:c r="A1" s="68" t="str">
        <x:v>Inventory Scenario Planner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</x:row>
    <x:row r="2" ht="25" customHeight="1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</x:row>
    <x:row r="3" ht="15" hidden="0" customHeight="1">
      <x:c r="A3" s="71" t="str">
        <x:v>Select a scenario and evaluate demand, investment, and budget implications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</x:row>
    <x:row r="4"/>
    <x:row r="5" ht="15" hidden="0" customHeight="1">
      <x:c r="A5" s="90" t="str">
        <x:v>Scenario Controls</x:v>
      </x:c>
      <x:c r="B5" s="90"/>
      <x:c r="C5" s="90"/>
      <x:c r="D5" s="90"/>
    </x:row>
    <x:row r="6" ht="15" hidden="0" customHeight="1">
      <x:c r="A6" s="78" t="str">
        <x:v>Selected Scenario</x:v>
      </x:c>
      <x:c r="B6" s="92" t="str">
        <x:v>Base</x:v>
      </x:c>
      <x:c r="F6" s="78" t="str">
        <x:v>Scenario</x:v>
      </x:c>
      <x:c r="G6" s="78" t="str">
        <x:v>Forecast Revenue</x:v>
      </x:c>
      <x:c r="H6" s="78" t="str">
        <x:v>Inventory Investment</x:v>
      </x:c>
      <x:c r="I6" s="78" t="str">
        <x:v>Order Units</x:v>
      </x:c>
      <x:c r="J6" s="78" t="str">
        <x:v>SKUs to Order</x:v>
      </x:c>
      <x:c r="K6" s="78" t="str">
        <x:v>Avg WOS</x:v>
      </x:c>
    </x:row>
    <x:row r="7" ht="15" hidden="0" customHeight="1">
      <x:c r="A7" s="74" t="str">
        <x:v>Demand Multiplier</x:v>
      </x:c>
      <x:c r="B7" s="94" t="n">
        <x:f>IF(B6="Lean",0.9,IF(B6="Growth",1.15,IF(B6="Resilience",1.05,1)))</x:f>
        <x:v>1</x:v>
      </x:c>
      <x:c r="F7" s="74" t="str">
        <x:v>Base</x:v>
      </x:c>
      <x:c r="G7" s="79" t="n">
        <x:v>397832123.74</x:v>
      </x:c>
      <x:c r="H7" s="79" t="n">
        <x:v>5329322.9</x:v>
      </x:c>
      <x:c r="I7" s="74" t="n">
        <x:v>7780</x:v>
      </x:c>
      <x:c r="J7" s="74" t="n">
        <x:v>10</x:v>
      </x:c>
      <x:c r="K7" s="74" t="n">
        <x:v>5.706183333333333</x:v>
      </x:c>
    </x:row>
    <x:row r="8" ht="15" hidden="0" customHeight="1">
      <x:c r="A8" s="74" t="str">
        <x:v>Service Level Delta</x:v>
      </x:c>
      <x:c r="B8" s="94" t="n">
        <x:f>IF(B6="Lean",-0.02,IF(B6="Growth",0.01,IF(B6="Resilience",0.02,0)))</x:f>
        <x:v>0</x:v>
      </x:c>
      <x:c r="F8" s="74" t="str">
        <x:v>Growth</x:v>
      </x:c>
      <x:c r="G8" s="79" t="n">
        <x:v>457506942.26</x:v>
      </x:c>
      <x:c r="H8" s="79" t="n">
        <x:v>8180082.28</x:v>
      </x:c>
      <x:c r="I8" s="74" t="n">
        <x:v>12160</x:v>
      </x:c>
      <x:c r="J8" s="74" t="n">
        <x:v>13</x:v>
      </x:c>
      <x:c r="K8" s="74" t="n">
        <x:v>4.961916666666666</x:v>
      </x:c>
    </x:row>
    <x:row r="9" ht="15" hidden="0" customHeight="1">
      <x:c r="A9" s="74" t="str">
        <x:v>Lead Time Delta (Days)</x:v>
      </x:c>
      <x:c r="B9" s="93" t="n">
        <x:f>IF(B6="Resilience",14,0)</x:f>
        <x:v>0</x:v>
      </x:c>
      <x:c r="F9" s="74" t="str">
        <x:v>Lean</x:v>
      </x:c>
      <x:c r="G9" s="79" t="n">
        <x:v>358048911.36</x:v>
      </x:c>
      <x:c r="H9" s="79" t="n">
        <x:v>3788071.04</x:v>
      </x:c>
      <x:c r="I9" s="74" t="n">
        <x:v>5360</x:v>
      </x:c>
      <x:c r="J9" s="74" t="n">
        <x:v>7</x:v>
      </x:c>
      <x:c r="K9" s="74" t="n">
        <x:v>6.3402666666666665</x:v>
      </x:c>
    </x:row>
    <x:row r="10" ht="15" hidden="0" customHeight="1">
      <x:c r="A10" s="74" t="str">
        <x:v>Annual Holding Cost Rate</x:v>
      </x:c>
      <x:c r="B10" s="94" t="n">
        <x:v>0.24</x:v>
      </x:c>
      <x:c r="F10" s="74" t="str">
        <x:v>Resilience</x:v>
      </x:c>
      <x:c r="G10" s="79" t="n">
        <x:v>417723729.91</x:v>
      </x:c>
      <x:c r="H10" s="79" t="n">
        <x:v>13515896.9</x:v>
      </x:c>
      <x:c r="I10" s="74" t="n">
        <x:v>20020</x:v>
      </x:c>
      <x:c r="J10" s="74" t="n">
        <x:v>30</x:v>
      </x:c>
      <x:c r="K10" s="74" t="n">
        <x:v>5.4345</x:v>
      </x:c>
    </x:row>
    <x:row r="11" ht="15" hidden="0" customHeight="1">
      <x:c r="A11" s="74" t="str">
        <x:v>Inventory Budget Cap (TRY M)</x:v>
      </x:c>
      <x:c r="B11" s="95" t="n">
        <x:v>15</x:v>
      </x:c>
    </x:row>
    <x:row r="12"/>
    <x:row r="13"/>
    <x:row r="14" ht="15" hidden="0" customHeight="1">
      <x:c r="A14" s="90" t="str">
        <x:v>Selected Scenario Outputs</x:v>
      </x:c>
      <x:c r="B14" s="90"/>
      <x:c r="C14" s="90"/>
      <x:c r="D14" s="90"/>
    </x:row>
    <x:row r="15" ht="15" hidden="0" customHeight="1">
      <x:c r="A15" s="78" t="str">
        <x:v>Forecast Units</x:v>
      </x:c>
      <x:c r="B15" s="78" t="n">
        <x:f>SUMIF('Scenario Data'!$A$6:$A$9,B6,'Scenario Data'!$B$6:$B$9)</x:f>
        <x:v>242442.92799999999</x:v>
      </x:c>
    </x:row>
    <x:row r="16" ht="15" hidden="0" customHeight="1">
      <x:c r="A16" s="74" t="str">
        <x:v>Forecast Revenue (TRY M)</x:v>
      </x:c>
      <x:c r="B16" s="96" t="n">
        <x:f>SUMIF('Scenario Data'!$A$6:$A$9,B6,'Scenario Data'!$C$6:$C$9)/1000000</x:f>
        <x:v>397.83212374</x:v>
      </x:c>
    </x:row>
    <x:row r="17" ht="15" hidden="0" customHeight="1">
      <x:c r="A17" s="74" t="str">
        <x:v>Inventory Investment (TRY M)</x:v>
      </x:c>
      <x:c r="B17" s="96" t="n">
        <x:f>SUMIF('Scenario Data'!$A$6:$A$9,B6,'Scenario Data'!$D$6:$D$9)/1000000</x:f>
        <x:v>5.3293229</x:v>
      </x:c>
    </x:row>
    <x:row r="18" ht="15" hidden="0" customHeight="1">
      <x:c r="A18" s="74" t="str">
        <x:v>Budget Variance (TRY M)</x:v>
      </x:c>
      <x:c r="B18" s="96" t="n">
        <x:f>B11-B17</x:f>
        <x:v>9.670677099999999</x:v>
      </x:c>
    </x:row>
    <x:row r="19" ht="15" hidden="0" customHeight="1">
      <x:c r="A19" s="74" t="str">
        <x:v>Projected Gross Margin (TRY M)</x:v>
      </x:c>
      <x:c r="B19" s="96" t="n">
        <x:f>SUMIF('Scenario Data'!$A$6:$A$9,B6,'Scenario Data'!$J$6:$J$9)/1000000</x:f>
        <x:v>230.74263177</x:v>
      </x:c>
    </x:row>
    <x:row r="20" ht="15" hidden="0" customHeight="1">
      <x:c r="A20" s="74" t="str">
        <x:v>SKUs to Order</x:v>
      </x:c>
      <x:c r="B20" s="74" t="n">
        <x:f>SUMIF('Scenario Data'!$A$6:$A$9,B6,'Scenario Data'!$H$6:$H$9)</x:f>
        <x:v>10</x:v>
      </x:c>
    </x:row>
    <x:row r="21" ht="15" hidden="0" customHeight="1">
      <x:c r="A21" s="74" t="str">
        <x:v>Average Weeks of Supply</x:v>
      </x:c>
      <x:c r="B21" s="96" t="n">
        <x:f>SUMIF('Scenario Data'!$A$6:$A$9,B6,'Scenario Data'!$F$6:$F$9)</x:f>
        <x:v>5.706183333333333</x:v>
      </x:c>
    </x:row>
    <x:row r="22" ht="15" hidden="0" customHeight="1">
      <x:c r="A22" s="74" t="str">
        <x:v>Budget Status</x:v>
      </x:c>
      <x:c r="B22" s="74" t="str">
        <x:f>IF(B18&gt;=0,"WITHIN BUDGET","OVER BUDGET")</x:f>
        <x:v>WITHIN BUDGET</x:v>
      </x:c>
    </x:row>
  </x:sheetData>
  <x:mergeCells>
    <x:mergeCell ref="A1:N2"/>
    <x:mergeCell ref="A3:N3"/>
    <x:mergeCell ref="A5:D5"/>
    <x:mergeCell ref="A14:D14"/>
  </x:mergeCells>
  <x:conditionalFormatting sqref="B22:B22">
    <x:cfRule type="containsText" dxfId="3" priority="1" operator="containsText" text="WITHIN"/>
    <x:cfRule type="containsText" dxfId="4" priority="2" operator="containsText" text="OVER"/>
  </x:conditionalFormatting>
  <x:dataValidations count="1">
    <x:dataValidation type="list" sqref="B6">
      <x:formula1>"Lean,Base,Growth,Resilience"</x:formula1>
    </x:dataValidation>
  </x:dataValidations>
  <x:pageMargins left="0.7" right="0.7" top="0.75" bottom="0.75" header="0.3" footer="0.3"/>
  <x:drawing xmlns:r="http://schemas.openxmlformats.org/officeDocument/2006/relationships" r:id="R96134e115ef642b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9" hidden="0" customWidth="1"/>
    <x:col min="19" max="19" width="21" hidden="0" customWidth="1"/>
    <x:col min="20" max="20" width="21" hidden="0" customWidth="1"/>
    <x:col min="21" max="21" width="18" hidden="0" customWidth="1"/>
  </x:cols>
  <x:sheetData>
    <x:row r="1" ht="25" customHeight="1">
      <x:c r="A1" s="68" t="str">
        <x:v>SKU Replenishment Priorities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</x:row>
    <x:row r="2" ht="25" customHeight="1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</x:row>
    <x:row r="3" ht="15" hidden="0" customHeight="1">
      <x:c r="A3" s="71" t="str">
        <x:v>Base scenario | recommended order quantities and investment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  <x:c r="U3" s="71"/>
    </x:row>
    <x:row r="4"/>
    <x:row r="5" ht="21.600000381469727" hidden="0" customHeight="1">
      <x:c r="A5" s="78" t="str">
        <x:v>SKU</x:v>
      </x:c>
      <x:c r="B5" s="78" t="str">
        <x:v>ProductName</x:v>
      </x:c>
      <x:c r="C5" s="78" t="str">
        <x:v>Category</x:v>
      </x:c>
      <x:c r="D5" s="78" t="str">
        <x:v>SupplierName</x:v>
      </x:c>
      <x:c r="E5" s="78" t="str">
        <x:v>ChampionModel</x:v>
      </x:c>
      <x:c r="F5" s="78" t="str">
        <x:v>ChampionWAPE</x:v>
      </x:c>
      <x:c r="G5" s="78" t="str">
        <x:v>TargetServiceLevel</x:v>
      </x:c>
      <x:c r="H5" s="78" t="str">
        <x:v>LeadTimeDays</x:v>
      </x:c>
      <x:c r="I5" s="78" t="str">
        <x:v>AverageWeeklyForecastUnits</x:v>
      </x:c>
      <x:c r="J5" s="78" t="str">
        <x:v>AnnualForecastUnits</x:v>
      </x:c>
      <x:c r="K5" s="78" t="str">
        <x:v>CurrentOnHand</x:v>
      </x:c>
      <x:c r="L5" s="78" t="str">
        <x:v>OnOrderUnits</x:v>
      </x:c>
      <x:c r="M5" s="78" t="str">
        <x:v>InventoryPosition</x:v>
      </x:c>
      <x:c r="N5" s="78" t="str">
        <x:v>ProjectedWeeksOfSupply</x:v>
      </x:c>
      <x:c r="O5" s="78" t="str">
        <x:v>SafetyStockUnits</x:v>
      </x:c>
      <x:c r="P5" s="78" t="str">
        <x:v>ReorderPointUnits</x:v>
      </x:c>
      <x:c r="Q5" s="78" t="str">
        <x:v>EOQUnits</x:v>
      </x:c>
      <x:c r="R5" s="78" t="str">
        <x:v>RecommendedOrderQty</x:v>
      </x:c>
      <x:c r="S5" s="78" t="str">
        <x:v>RecommendedInvestmentTRY</x:v>
      </x:c>
      <x:c r="T5" s="78" t="str">
        <x:v>ForecastRevenueTRY</x:v>
      </x:c>
      <x:c r="U5" s="78" t="str">
        <x:v>Action</x:v>
      </x:c>
    </x:row>
    <x:row r="6" ht="15" hidden="0" customHeight="1">
      <x:c r="A6" s="74" t="str">
        <x:v>OUT-007</x:v>
      </x:c>
      <x:c r="B6" s="74" t="str">
        <x:v>Quilted Outerwear</x:v>
      </x:c>
      <x:c r="C6" s="74" t="str">
        <x:v>Outerwear</x:v>
      </x:c>
      <x:c r="D6" s="74" t="str">
        <x:v>Thrace Manufacturing</x:v>
      </x:c>
      <x:c r="E6" s="74" t="str">
        <x:v>Gradient Boosting</x:v>
      </x:c>
      <x:c r="F6" s="80" t="n">
        <x:v>0.192547</x:v>
      </x:c>
      <x:c r="G6" s="80" t="n">
        <x:v>0.95</x:v>
      </x:c>
      <x:c r="H6" s="74" t="n">
        <x:v>21</x:v>
      </x:c>
      <x:c r="I6" s="74" t="n">
        <x:v>55.23</x:v>
      </x:c>
      <x:c r="J6" s="74" t="n">
        <x:v>2871.939</x:v>
      </x:c>
      <x:c r="K6" s="74" t="n">
        <x:v>273</x:v>
      </x:c>
      <x:c r="L6" s="74" t="n">
        <x:v>0</x:v>
      </x:c>
      <x:c r="M6" s="74" t="n">
        <x:v>273</x:v>
      </x:c>
      <x:c r="N6" s="74" t="n">
        <x:v>4.943</x:v>
      </x:c>
      <x:c r="O6" s="74" t="n">
        <x:v>45.253</x:v>
      </x:c>
      <x:c r="P6" s="74" t="n">
        <x:v>210.942</x:v>
      </x:c>
      <x:c r="Q6" s="74" t="n">
        <x:v>173.785</x:v>
      </x:c>
      <x:c r="R6" s="74" t="n">
        <x:v>160</x:v>
      </x:c>
      <x:c r="S6" s="79" t="n">
        <x:v>320400</x:v>
      </x:c>
      <x:c r="T6" s="79" t="n">
        <x:v>12170448.6</x:v>
      </x:c>
      <x:c r="U6" s="74" t="str">
        <x:v>HEALTHY</x:v>
      </x:c>
    </x:row>
    <x:row r="7" ht="15" hidden="0" customHeight="1">
      <x:c r="A7" s="74" t="str">
        <x:v>TOP-008</x:v>
      </x:c>
      <x:c r="B7" s="74" t="str">
        <x:v>Relaxed Top</x:v>
      </x:c>
      <x:c r="C7" s="74" t="str">
        <x:v>Tops</x:v>
      </x:c>
      <x:c r="D7" s="74" t="str">
        <x:v>Anatolia Textiles</x:v>
      </x:c>
      <x:c r="E7" s="74" t="str">
        <x:v>Gradient Boosting</x:v>
      </x:c>
      <x:c r="F7" s="80" t="n">
        <x:v>0.156932</x:v>
      </x:c>
      <x:c r="G7" s="80" t="n">
        <x:v>0.95</x:v>
      </x:c>
      <x:c r="H7" s="74" t="n">
        <x:v>10</x:v>
      </x:c>
      <x:c r="I7" s="74" t="n">
        <x:v>96.907</x:v>
      </x:c>
      <x:c r="J7" s="74" t="n">
        <x:v>5039.149</x:v>
      </x:c>
      <x:c r="K7" s="74" t="n">
        <x:v>307</x:v>
      </x:c>
      <x:c r="L7" s="74" t="n">
        <x:v>0</x:v>
      </x:c>
      <x:c r="M7" s="74" t="n">
        <x:v>307</x:v>
      </x:c>
      <x:c r="N7" s="74" t="n">
        <x:v>3.168</x:v>
      </x:c>
      <x:c r="O7" s="74" t="n">
        <x:v>36.528</x:v>
      </x:c>
      <x:c r="P7" s="74" t="n">
        <x:v>174.966</x:v>
      </x:c>
      <x:c r="Q7" s="74" t="n">
        <x:v>290.194</x:v>
      </x:c>
      <x:c r="R7" s="74" t="n">
        <x:v>264</x:v>
      </x:c>
      <x:c r="S7" s="79" t="n">
        <x:v>184039.68</x:v>
      </x:c>
      <x:c r="T7" s="79" t="n">
        <x:v>8402551.15</x:v>
      </x:c>
      <x:c r="U7" s="74" t="str">
        <x:v>HEALTHY</x:v>
      </x:c>
    </x:row>
    <x:row r="8" ht="15" hidden="0" customHeight="1">
      <x:c r="A8" s="74" t="str">
        <x:v>OUT-006</x:v>
      </x:c>
      <x:c r="B8" s="74" t="str">
        <x:v>Belted Outerwear</x:v>
      </x:c>
      <x:c r="C8" s="74" t="str">
        <x:v>Outerwear</x:v>
      </x:c>
      <x:c r="D8" s="74" t="str">
        <x:v>Central Knitworks</x:v>
      </x:c>
      <x:c r="E8" s="74" t="str">
        <x:v>Gradient Boosting</x:v>
      </x:c>
      <x:c r="F8" s="80" t="n">
        <x:v>0.220625</x:v>
      </x:c>
      <x:c r="G8" s="80" t="n">
        <x:v>0.98</x:v>
      </x:c>
      <x:c r="H8" s="74" t="n">
        <x:v>35</x:v>
      </x:c>
      <x:c r="I8" s="74" t="n">
        <x:v>34.895</x:v>
      </x:c>
      <x:c r="J8" s="74" t="n">
        <x:v>1814.522</x:v>
      </x:c>
      <x:c r="K8" s="74" t="n">
        <x:v>278</x:v>
      </x:c>
      <x:c r="L8" s="74" t="n">
        <x:v>0</x:v>
      </x:c>
      <x:c r="M8" s="74" t="n">
        <x:v>278</x:v>
      </x:c>
      <x:c r="N8" s="74" t="n">
        <x:v>7.967</x:v>
      </x:c>
      <x:c r="O8" s="74" t="n">
        <x:v>56.146</x:v>
      </x:c>
      <x:c r="P8" s="74" t="n">
        <x:v>230.619</x:v>
      </x:c>
      <x:c r="Q8" s="74" t="n">
        <x:v>104.617</x:v>
      </x:c>
      <x:c r="R8" s="74" t="n">
        <x:v>100</x:v>
      </x:c>
      <x:c r="S8" s="79" t="n">
        <x:v>181403</x:v>
      </x:c>
      <x:c r="T8" s="79" t="n">
        <x:v>6160007.5</x:v>
      </x:c>
      <x:c r="U8" s="74" t="str">
        <x:v>HEALTHY</x:v>
      </x:c>
    </x:row>
    <x:row r="9" ht="15" hidden="0" customHeight="1">
      <x:c r="A9" s="74" t="str">
        <x:v>KNI-002</x:v>
      </x:c>
      <x:c r="B9" s="74" t="str">
        <x:v>Cable Knitwear</x:v>
      </x:c>
      <x:c r="C9" s="74" t="str">
        <x:v>Knitwear</x:v>
      </x:c>
      <x:c r="D9" s="74" t="str">
        <x:v>Istanbul Leather</x:v>
      </x:c>
      <x:c r="E9" s="74" t="str">
        <x:v>Gradient Boosting</x:v>
      </x:c>
      <x:c r="F9" s="80" t="n">
        <x:v>0.137512</x:v>
      </x:c>
      <x:c r="G9" s="80" t="n">
        <x:v>0.97</x:v>
      </x:c>
      <x:c r="H9" s="74" t="n">
        <x:v>28</x:v>
      </x:c>
      <x:c r="I9" s="74" t="n">
        <x:v>70.167</x:v>
      </x:c>
      <x:c r="J9" s="74" t="n">
        <x:v>3648.699</x:v>
      </x:c>
      <x:c r="K9" s="74" t="n">
        <x:v>478</x:v>
      </x:c>
      <x:c r="L9" s="74" t="n">
        <x:v>0</x:v>
      </x:c>
      <x:c r="M9" s="74" t="n">
        <x:v>478</x:v>
      </x:c>
      <x:c r="N9" s="74" t="n">
        <x:v>6.812</x:v>
      </x:c>
      <x:c r="O9" s="74" t="n">
        <x:v>55.34</x:v>
      </x:c>
      <x:c r="P9" s="74" t="n">
        <x:v>336.01</x:v>
      </x:c>
      <x:c r="Q9" s="74" t="n">
        <x:v>240.422</x:v>
      </x:c>
      <x:c r="R9" s="74" t="n">
        <x:v>144</x:v>
      </x:c>
      <x:c r="S9" s="79" t="n">
        <x:v>140967.36</x:v>
      </x:c>
      <x:c r="T9" s="79" t="n">
        <x:v>8016830.71</x:v>
      </x:c>
      <x:c r="U9" s="74" t="str">
        <x:v>HEALTHY</x:v>
      </x:c>
    </x:row>
    <x:row r="10" ht="15" hidden="0" customHeight="1">
      <x:c r="A10" s="74" t="str">
        <x:v>DRE-010</x:v>
      </x:c>
      <x:c r="B10" s="74" t="str">
        <x:v>Signature Dresse</x:v>
      </x:c>
      <x:c r="C10" s="74" t="str">
        <x:v>Dresses</x:v>
      </x:c>
      <x:c r="D10" s="74" t="str">
        <x:v>Central Knitworks</x:v>
      </x:c>
      <x:c r="E10" s="74" t="str">
        <x:v>Gradient Boosting</x:v>
      </x:c>
      <x:c r="F10" s="80" t="n">
        <x:v>0.122755</x:v>
      </x:c>
      <x:c r="G10" s="80" t="n">
        <x:v>0.95</x:v>
      </x:c>
      <x:c r="H10" s="74" t="n">
        <x:v>35</x:v>
      </x:c>
      <x:c r="I10" s="74" t="n">
        <x:v>88.398</x:v>
      </x:c>
      <x:c r="J10" s="74" t="n">
        <x:v>4596.715</x:v>
      </x:c>
      <x:c r="K10" s="74" t="n">
        <x:v>738</x:v>
      </x:c>
      <x:c r="L10" s="74" t="n">
        <x:v>0</x:v>
      </x:c>
      <x:c r="M10" s="74" t="n">
        <x:v>738</x:v>
      </x:c>
      <x:c r="N10" s="74" t="n">
        <x:v>8.349</x:v>
      </x:c>
      <x:c r="O10" s="74" t="n">
        <x:v>61.555</x:v>
      </x:c>
      <x:c r="P10" s="74" t="n">
        <x:v>503.547</x:v>
      </x:c>
      <x:c r="Q10" s="74" t="n">
        <x:v>220.085</x:v>
      </x:c>
      <x:c r="R10" s="74" t="n">
        <x:v>120</x:v>
      </x:c>
      <x:c r="S10" s="79" t="n">
        <x:v>124604.4</x:v>
      </x:c>
      <x:c r="T10" s="79" t="n">
        <x:v>13435969.68</x:v>
      </x:c>
      <x:c r="U10" s="74" t="str">
        <x:v>HEALTHY</x:v>
      </x:c>
    </x:row>
    <x:row r="11" ht="15" hidden="0" customHeight="1">
      <x:c r="A11" s="74" t="str">
        <x:v>OUT-005</x:v>
      </x:c>
      <x:c r="B11" s="74" t="str">
        <x:v>Cropped Outerwear</x:v>
      </x:c>
      <x:c r="C11" s="74" t="str">
        <x:v>Outerwear</x:v>
      </x:c>
      <x:c r="D11" s="74" t="str">
        <x:v>Bosporus Accessories</x:v>
      </x:c>
      <x:c r="E11" s="74" t="str">
        <x:v>Gradient Boosting</x:v>
      </x:c>
      <x:c r="F11" s="80" t="n">
        <x:v>0.230857</x:v>
      </x:c>
      <x:c r="G11" s="80" t="n">
        <x:v>0.95</x:v>
      </x:c>
      <x:c r="H11" s="74" t="n">
        <x:v>7</x:v>
      </x:c>
      <x:c r="I11" s="74" t="n">
        <x:v>40.243</x:v>
      </x:c>
      <x:c r="J11" s="74" t="n">
        <x:v>2092.629</x:v>
      </x:c>
      <x:c r="K11" s="74" t="n">
        <x:v>115</x:v>
      </x:c>
      <x:c r="L11" s="74" t="n">
        <x:v>0</x:v>
      </x:c>
      <x:c r="M11" s="74" t="n">
        <x:v>115</x:v>
      </x:c>
      <x:c r="N11" s="74" t="n">
        <x:v>2.858</x:v>
      </x:c>
      <x:c r="O11" s="74" t="n">
        <x:v>23.329</x:v>
      </x:c>
      <x:c r="P11" s="74" t="n">
        <x:v>63.572</x:v>
      </x:c>
      <x:c r="Q11" s="74" t="n">
        <x:v>251.598</x:v>
      </x:c>
      <x:c r="R11" s="74" t="n">
        <x:v>112</x:v>
      </x:c>
      <x:c r="S11" s="79" t="n">
        <x:v>88119.36</x:v>
      </x:c>
      <x:c r="T11" s="79" t="n">
        <x:v>3845297.68</x:v>
      </x:c>
      <x:c r="U11" s="74" t="str">
        <x:v>HEALTHY</x:v>
      </x:c>
    </x:row>
    <x:row r="12" ht="15" hidden="0" customHeight="1">
      <x:c r="A12" s="74" t="str">
        <x:v>BOT-009</x:v>
      </x:c>
      <x:c r="B12" s="74" t="str">
        <x:v>Classic Bottom</x:v>
      </x:c>
      <x:c r="C12" s="74" t="str">
        <x:v>Bottoms</x:v>
      </x:c>
      <x:c r="D12" s="74" t="str">
        <x:v>Bosporus Accessories</x:v>
      </x:c>
      <x:c r="E12" s="74" t="str">
        <x:v>Seasonal Naive</x:v>
      </x:c>
      <x:c r="F12" s="80" t="n">
        <x:v>0.159102</x:v>
      </x:c>
      <x:c r="G12" s="80" t="n">
        <x:v>0.98</x:v>
      </x:c>
      <x:c r="H12" s="74" t="n">
        <x:v>7</x:v>
      </x:c>
      <x:c r="I12" s="74" t="n">
        <x:v>48.731</x:v>
      </x:c>
      <x:c r="J12" s="74" t="n">
        <x:v>2534.01</x:v>
      </x:c>
      <x:c r="K12" s="74" t="n">
        <x:v>187</x:v>
      </x:c>
      <x:c r="L12" s="74" t="n">
        <x:v>0</x:v>
      </x:c>
      <x:c r="M12" s="74" t="n">
        <x:v>187</x:v>
      </x:c>
      <x:c r="N12" s="74" t="n">
        <x:v>3.837</x:v>
      </x:c>
      <x:c r="O12" s="74" t="n">
        <x:v>27.576</x:v>
      </x:c>
      <x:c r="P12" s="74" t="n">
        <x:v>76.307</x:v>
      </x:c>
      <x:c r="Q12" s="74" t="n">
        <x:v>257.708</x:v>
      </x:c>
      <x:c r="R12" s="74" t="n">
        <x:v>96</x:v>
      </x:c>
      <x:c r="S12" s="79" t="n">
        <x:v>87176.64</x:v>
      </x:c>
      <x:c r="T12" s="79" t="n">
        <x:v>5404253.69</x:v>
      </x:c>
      <x:c r="U12" s="74" t="str">
        <x:v>HEALTHY</x:v>
      </x:c>
    </x:row>
    <x:row r="13" ht="15" hidden="0" customHeight="1">
      <x:c r="A13" s="74" t="str">
        <x:v>BOT-010</x:v>
      </x:c>
      <x:c r="B13" s="74" t="str">
        <x:v>Studio Bottom</x:v>
      </x:c>
      <x:c r="C13" s="74" t="str">
        <x:v>Bottoms</x:v>
      </x:c>
      <x:c r="D13" s="74" t="str">
        <x:v>Central Knitworks</x:v>
      </x:c>
      <x:c r="E13" s="74" t="str">
        <x:v>Gradient Boosting</x:v>
      </x:c>
      <x:c r="F13" s="80" t="n">
        <x:v>0.164651</x:v>
      </x:c>
      <x:c r="G13" s="80" t="n">
        <x:v>0.98</x:v>
      </x:c>
      <x:c r="H13" s="74" t="n">
        <x:v>35</x:v>
      </x:c>
      <x:c r="I13" s="74" t="n">
        <x:v>66.698</x:v>
      </x:c>
      <x:c r="J13" s="74" t="n">
        <x:v>3468.311</x:v>
      </x:c>
      <x:c r="K13" s="74" t="n">
        <x:v>526</x:v>
      </x:c>
      <x:c r="L13" s="74" t="n">
        <x:v>0</x:v>
      </x:c>
      <x:c r="M13" s="74" t="n">
        <x:v>526</x:v>
      </x:c>
      <x:c r="N13" s="74" t="n">
        <x:v>7.886</x:v>
      </x:c>
      <x:c r="O13" s="74" t="n">
        <x:v>56.66</x:v>
      </x:c>
      <x:c r="P13" s="74" t="n">
        <x:v>390.152</x:v>
      </x:c>
      <x:c r="Q13" s="74" t="n">
        <x:v>263.342</x:v>
      </x:c>
      <x:c r="R13" s="74" t="n">
        <x:v>140</x:v>
      </x:c>
      <x:c r="S13" s="79" t="n">
        <x:v>76610.8</x:v>
      </x:c>
      <x:c r="T13" s="79" t="n">
        <x:v>4250346.73</x:v>
      </x:c>
      <x:c r="U13" s="74" t="str">
        <x:v>HEALTHY</x:v>
      </x:c>
    </x:row>
    <x:row r="14" ht="15" hidden="0" customHeight="1">
      <x:c r="A14" s="74" t="str">
        <x:v>BOT-002</x:v>
      </x:c>
      <x:c r="B14" s="74" t="str">
        <x:v>Wide-Leg Bottom</x:v>
      </x:c>
      <x:c r="C14" s="74" t="str">
        <x:v>Bottoms</x:v>
      </x:c>
      <x:c r="D14" s="74" t="str">
        <x:v>Central Knitworks</x:v>
      </x:c>
      <x:c r="E14" s="74" t="str">
        <x:v>Gradient Boosting</x:v>
      </x:c>
      <x:c r="F14" s="80" t="n">
        <x:v>0.177453</x:v>
      </x:c>
      <x:c r="G14" s="80" t="n">
        <x:v>0.93</x:v>
      </x:c>
      <x:c r="H14" s="74" t="n">
        <x:v>35</x:v>
      </x:c>
      <x:c r="I14" s="74" t="n">
        <x:v>85.608</x:v>
      </x:c>
      <x:c r="J14" s="74" t="n">
        <x:v>4451.601</x:v>
      </x:c>
      <x:c r="K14" s="74" t="n">
        <x:v>693</x:v>
      </x:c>
      <x:c r="L14" s="74" t="n">
        <x:v>0</x:v>
      </x:c>
      <x:c r="M14" s="74" t="n">
        <x:v>693</x:v>
      </x:c>
      <x:c r="N14" s="74" t="n">
        <x:v>8.095</x:v>
      </x:c>
      <x:c r="O14" s="74" t="n">
        <x:v>73.563</x:v>
      </x:c>
      <x:c r="P14" s="74" t="n">
        <x:v>501.601</x:v>
      </x:c>
      <x:c r="Q14" s="74" t="n">
        <x:v>312.5</x:v>
      </x:c>
      <x:c r="R14" s="74" t="n">
        <x:v>152</x:v>
      </x:c>
      <x:c r="S14" s="79" t="n">
        <x:v>75813.04</x:v>
      </x:c>
      <x:c r="T14" s="79" t="n">
        <x:v>5238874.07</x:v>
      </x:c>
      <x:c r="U14" s="74" t="str">
        <x:v>HEALTHY</x:v>
      </x:c>
    </x:row>
    <x:row r="15" ht="15" hidden="0" customHeight="1">
      <x:c r="A15" s="74" t="str">
        <x:v>TOP-004</x:v>
      </x:c>
      <x:c r="B15" s="74" t="str">
        <x:v>Draped Top</x:v>
      </x:c>
      <x:c r="C15" s="74" t="str">
        <x:v>Tops</x:v>
      </x:c>
      <x:c r="D15" s="74" t="str">
        <x:v>Central Knitworks</x:v>
      </x:c>
      <x:c r="E15" s="74" t="str">
        <x:v>Gradient Boosting</x:v>
      </x:c>
      <x:c r="F15" s="80" t="n">
        <x:v>0.138836</x:v>
      </x:c>
      <x:c r="G15" s="80" t="n">
        <x:v>0.98</x:v>
      </x:c>
      <x:c r="H15" s="74" t="n">
        <x:v>35</x:v>
      </x:c>
      <x:c r="I15" s="74" t="n">
        <x:v>92.133</x:v>
      </x:c>
      <x:c r="J15" s="74" t="n">
        <x:v>4790.936</x:v>
      </x:c>
      <x:c r="K15" s="74" t="n">
        <x:v>763</x:v>
      </x:c>
      <x:c r="L15" s="74" t="n">
        <x:v>0</x:v>
      </x:c>
      <x:c r="M15" s="74" t="n">
        <x:v>763</x:v>
      </x:c>
      <x:c r="N15" s="74" t="n">
        <x:v>8.281</x:v>
      </x:c>
      <x:c r="O15" s="74" t="n">
        <x:v>72.527</x:v>
      </x:c>
      <x:c r="P15" s="74" t="n">
        <x:v>533.193</x:v>
      </x:c>
      <x:c r="Q15" s="74" t="n">
        <x:v>321.518</x:v>
      </x:c>
      <x:c r="R15" s="74" t="n">
        <x:v>140</x:v>
      </x:c>
      <x:c r="S15" s="79" t="n">
        <x:v>70994</x:v>
      </x:c>
      <x:c r="T15" s="79" t="n">
        <x:v>6717066.85</x:v>
      </x:c>
      <x:c r="U15" s="74" t="str">
        <x:v>HEALTHY</x:v>
      </x:c>
    </x:row>
    <x:row r="16" ht="15" hidden="0" customHeight="1">
      <x:c r="A16" s="74" t="str">
        <x:v>ACC-009</x:v>
      </x:c>
      <x:c r="B16" s="74" t="str">
        <x:v>Classic Accessorie</x:v>
      </x:c>
      <x:c r="C16" s="74" t="str">
        <x:v>Accessories</x:v>
      </x:c>
      <x:c r="D16" s="74" t="str">
        <x:v>Thrace Manufacturing</x:v>
      </x:c>
      <x:c r="E16" s="74" t="str">
        <x:v>Gradient Boosting</x:v>
      </x:c>
      <x:c r="F16" s="80" t="n">
        <x:v>0.135296</x:v>
      </x:c>
      <x:c r="G16" s="80" t="n">
        <x:v>0.95</x:v>
      </x:c>
      <x:c r="H16" s="74" t="n">
        <x:v>21</x:v>
      </x:c>
      <x:c r="I16" s="74" t="n">
        <x:v>87.189</x:v>
      </x:c>
      <x:c r="J16" s="74" t="n">
        <x:v>4533.825</x:v>
      </x:c>
      <x:c r="K16" s="74" t="n">
        <x:v>499</x:v>
      </x:c>
      <x:c r="L16" s="74" t="n">
        <x:v>0</x:v>
      </x:c>
      <x:c r="M16" s="74" t="n">
        <x:v>499</x:v>
      </x:c>
      <x:c r="N16" s="74" t="n">
        <x:v>5.723</x:v>
      </x:c>
      <x:c r="O16" s="74" t="n">
        <x:v>57.139</x:v>
      </x:c>
      <x:c r="P16" s="74" t="n">
        <x:v>318.706</x:v>
      </x:c>
      <x:c r="Q16" s="74" t="n">
        <x:v>494.185</x:v>
      </x:c>
      <x:c r="R16" s="74" t="n">
        <x:v>180</x:v>
      </x:c>
      <x:c r="S16" s="79" t="n">
        <x:v>70369.2</x:v>
      </x:c>
      <x:c r="T16" s="79" t="n">
        <x:v>5071044.46</x:v>
      </x:c>
      <x:c r="U16" s="74" t="str">
        <x:v>HEALTHY</x:v>
      </x:c>
    </x:row>
    <x:row r="17" ht="15" hidden="0" customHeight="1">
      <x:c r="A17" s="74" t="str">
        <x:v>ACC-005</x:v>
      </x:c>
      <x:c r="B17" s="74" t="str">
        <x:v>Signature Accessorie</x:v>
      </x:c>
      <x:c r="C17" s="74" t="str">
        <x:v>Accessories</x:v>
      </x:c>
      <x:c r="D17" s="74" t="str">
        <x:v>Marmara Apparel</x:v>
      </x:c>
      <x:c r="E17" s="74" t="str">
        <x:v>Gradient Boosting</x:v>
      </x:c>
      <x:c r="F17" s="80" t="n">
        <x:v>0.136134</x:v>
      </x:c>
      <x:c r="G17" s="80" t="n">
        <x:v>0.98</x:v>
      </x:c>
      <x:c r="H17" s="74" t="n">
        <x:v>18</x:v>
      </x:c>
      <x:c r="I17" s="74" t="n">
        <x:v>83.385</x:v>
      </x:c>
      <x:c r="J17" s="74" t="n">
        <x:v>4336.024</x:v>
      </x:c>
      <x:c r="K17" s="74" t="n">
        <x:v>383</x:v>
      </x:c>
      <x:c r="L17" s="74" t="n">
        <x:v>0</x:v>
      </x:c>
      <x:c r="M17" s="74" t="n">
        <x:v>383</x:v>
      </x:c>
      <x:c r="N17" s="74" t="n">
        <x:v>4.593</x:v>
      </x:c>
      <x:c r="O17" s="74" t="n">
        <x:v>57.89</x:v>
      </x:c>
      <x:c r="P17" s="74" t="n">
        <x:v>272.309</x:v>
      </x:c>
      <x:c r="Q17" s="74" t="n">
        <x:v>443.854</x:v>
      </x:c>
      <x:c r="R17" s="74" t="n">
        <x:v>228</x:v>
      </x:c>
      <x:c r="S17" s="79" t="n">
        <x:v>70212.6</x:v>
      </x:c>
      <x:c r="T17" s="79" t="n">
        <x:v>3380247.09</x:v>
      </x:c>
      <x:c r="U17" s="74" t="str">
        <x:v>HEALTHY</x:v>
      </x:c>
    </x:row>
    <x:row r="18" ht="15" hidden="0" customHeight="1">
      <x:c r="A18" s="74" t="str">
        <x:v>OUT-003</x:v>
      </x:c>
      <x:c r="B18" s="74" t="str">
        <x:v>Puffer Outerwear</x:v>
      </x:c>
      <x:c r="C18" s="74" t="str">
        <x:v>Outerwear</x:v>
      </x:c>
      <x:c r="D18" s="74" t="str">
        <x:v>Marmara Apparel</x:v>
      </x:c>
      <x:c r="E18" s="74" t="str">
        <x:v>Gradient Boosting</x:v>
      </x:c>
      <x:c r="F18" s="80" t="n">
        <x:v>0.127572</x:v>
      </x:c>
      <x:c r="G18" s="80" t="n">
        <x:v>0.95</x:v>
      </x:c>
      <x:c r="H18" s="74" t="n">
        <x:v>18</x:v>
      </x:c>
      <x:c r="I18" s="74" t="n">
        <x:v>34.644</x:v>
      </x:c>
      <x:c r="J18" s="74" t="n">
        <x:v>1801.492</x:v>
      </x:c>
      <x:c r="K18" s="74" t="n">
        <x:v>193</x:v>
      </x:c>
      <x:c r="L18" s="74" t="n">
        <x:v>0</x:v>
      </x:c>
      <x:c r="M18" s="74" t="n">
        <x:v>193</x:v>
      </x:c>
      <x:c r="N18" s="74" t="n">
        <x:v>5.571</x:v>
      </x:c>
      <x:c r="O18" s="74" t="n">
        <x:v>19.999</x:v>
      </x:c>
      <x:c r="P18" s="74" t="n">
        <x:v>109.083</x:v>
      </x:c>
      <x:c r="Q18" s="74" t="n">
        <x:v>158.576</x:v>
      </x:c>
      <x:c r="R18" s="74" t="n">
        <x:v>60</x:v>
      </x:c>
      <x:c r="S18" s="79" t="n">
        <x:v>60142.2</x:v>
      </x:c>
      <x:c r="T18" s="79" t="n">
        <x:v>3708514.37</x:v>
      </x:c>
      <x:c r="U18" s="74" t="str">
        <x:v>HEALTHY</x:v>
      </x:c>
    </x:row>
    <x:row r="19" ht="15" hidden="0" customHeight="1">
      <x:c r="A19" s="74" t="str">
        <x:v>ACC-001</x:v>
      </x:c>
      <x:c r="B19" s="74" t="str">
        <x:v>Leather Accessorie</x:v>
      </x:c>
      <x:c r="C19" s="74" t="str">
        <x:v>Accessories</x:v>
      </x:c>
      <x:c r="D19" s="74" t="str">
        <x:v>Thrace Manufacturing</x:v>
      </x:c>
      <x:c r="E19" s="74" t="str">
        <x:v>Gradient Boosting</x:v>
      </x:c>
      <x:c r="F19" s="80" t="n">
        <x:v>0.168206</x:v>
      </x:c>
      <x:c r="G19" s="80" t="n">
        <x:v>0.95</x:v>
      </x:c>
      <x:c r="H19" s="74" t="n">
        <x:v>21</x:v>
      </x:c>
      <x:c r="I19" s="74" t="n">
        <x:v>97.028</x:v>
      </x:c>
      <x:c r="J19" s="74" t="n">
        <x:v>5045.47</x:v>
      </x:c>
      <x:c r="K19" s="74" t="n">
        <x:v>602</x:v>
      </x:c>
      <x:c r="L19" s="74" t="n">
        <x:v>0</x:v>
      </x:c>
      <x:c r="M19" s="74" t="n">
        <x:v>602</x:v>
      </x:c>
      <x:c r="N19" s="74" t="n">
        <x:v>6.204</x:v>
      </x:c>
      <x:c r="O19" s="74" t="n">
        <x:v>82.805</x:v>
      </x:c>
      <x:c r="P19" s="74" t="n">
        <x:v>373.89</x:v>
      </x:c>
      <x:c r="Q19" s="74" t="n">
        <x:v>562.057</x:v>
      </x:c>
      <x:c r="R19" s="74" t="n">
        <x:v>170</x:v>
      </x:c>
      <x:c r="S19" s="79" t="n">
        <x:v>57176.1</x:v>
      </x:c>
      <x:c r="T19" s="79" t="n">
        <x:v>4520137.92</x:v>
      </x:c>
      <x:c r="U19" s="74" t="str">
        <x:v>HEALTHY</x:v>
      </x:c>
    </x:row>
    <x:row r="20" ht="15" hidden="0" customHeight="1">
      <x:c r="A20" s="74" t="str">
        <x:v>OUT-001</x:v>
      </x:c>
      <x:c r="B20" s="74" t="str">
        <x:v>Trench Outerwear</x:v>
      </x:c>
      <x:c r="C20" s="74" t="str">
        <x:v>Outerwear</x:v>
      </x:c>
      <x:c r="D20" s="74" t="str">
        <x:v>Mediterranean Fashion Supply</x:v>
      </x:c>
      <x:c r="E20" s="74" t="str">
        <x:v>Gradient Boosting</x:v>
      </x:c>
      <x:c r="F20" s="80" t="n">
        <x:v>0.146916</x:v>
      </x:c>
      <x:c r="G20" s="80" t="n">
        <x:v>0.93</x:v>
      </x:c>
      <x:c r="H20" s="74" t="n">
        <x:v>7</x:v>
      </x:c>
      <x:c r="I20" s="74" t="n">
        <x:v>39.461</x:v>
      </x:c>
      <x:c r="J20" s="74" t="n">
        <x:v>2051.992</x:v>
      </x:c>
      <x:c r="K20" s="74" t="n">
        <x:v>0</x:v>
      </x:c>
      <x:c r="L20" s="74" t="n">
        <x:v>200</x:v>
      </x:c>
      <x:c r="M20" s="74" t="n">
        <x:v>200</x:v>
      </x:c>
      <x:c r="N20" s="74" t="n">
        <x:v>5.068</x:v>
      </x:c>
      <x:c r="O20" s="74" t="n">
        <x:v>12.181</x:v>
      </x:c>
      <x:c r="P20" s="74" t="n">
        <x:v>51.643</x:v>
      </x:c>
      <x:c r="Q20" s="74" t="n">
        <x:v>244.81</x:v>
      </x:c>
      <x:c r="R20" s="74" t="n">
        <x:v>60</x:v>
      </x:c>
      <x:c r="S20" s="79" t="n">
        <x:v>50245.2</x:v>
      </x:c>
      <x:c r="T20" s="79" t="n">
        <x:v>3518382.56</x:v>
      </x:c>
      <x:c r="U20" s="74" t="str">
        <x:v>HEALTHY</x:v>
      </x:c>
    </x:row>
    <x:row r="21" ht="15" hidden="0" customHeight="1">
      <x:c r="A21" s="74" t="str">
        <x:v>TOP-010</x:v>
      </x:c>
      <x:c r="B21" s="74" t="str">
        <x:v>Signature Top</x:v>
      </x:c>
      <x:c r="C21" s="74" t="str">
        <x:v>Tops</x:v>
      </x:c>
      <x:c r="D21" s="74" t="str">
        <x:v>Aegean Atelier</x:v>
      </x:c>
      <x:c r="E21" s="74" t="str">
        <x:v>Gradient Boosting</x:v>
      </x:c>
      <x:c r="F21" s="80" t="n">
        <x:v>0.141975</x:v>
      </x:c>
      <x:c r="G21" s="80" t="n">
        <x:v>0.97</x:v>
      </x:c>
      <x:c r="H21" s="74" t="n">
        <x:v>14</x:v>
      </x:c>
      <x:c r="I21" s="74" t="n">
        <x:v>112.143</x:v>
      </x:c>
      <x:c r="J21" s="74" t="n">
        <x:v>5831.458</x:v>
      </x:c>
      <x:c r="K21" s="74" t="n">
        <x:v>537</x:v>
      </x:c>
      <x:c r="L21" s="74" t="n">
        <x:v>0</x:v>
      </x:c>
      <x:c r="M21" s="74" t="n">
        <x:v>537</x:v>
      </x:c>
      <x:c r="N21" s="74" t="n">
        <x:v>4.789</x:v>
      </x:c>
      <x:c r="O21" s="74" t="n">
        <x:v>44.802</x:v>
      </x:c>
      <x:c r="P21" s="74" t="n">
        <x:v>269.089</x:v>
      </x:c>
      <x:c r="Q21" s="74" t="n">
        <x:v>764.67</x:v>
      </x:c>
      <x:c r="R21" s="74" t="n">
        <x:v>184</x:v>
      </x:c>
      <x:c r="S21" s="79" t="n">
        <x:v>44958.56</x:v>
      </x:c>
      <x:c r="T21" s="79" t="n">
        <x:v>3891597.8</x:v>
      </x:c>
      <x:c r="U21" s="74" t="str">
        <x:v>HEALTHY</x:v>
      </x:c>
    </x:row>
    <x:row r="22" ht="15" hidden="0" customHeight="1">
      <x:c r="A22" s="74" t="str">
        <x:v>TOP-009</x:v>
      </x:c>
      <x:c r="B22" s="74" t="str">
        <x:v>Studio Top</x:v>
      </x:c>
      <x:c r="C22" s="74" t="str">
        <x:v>Tops</x:v>
      </x:c>
      <x:c r="D22" s="74" t="str">
        <x:v>Marmara Apparel</x:v>
      </x:c>
      <x:c r="E22" s="74" t="str">
        <x:v>Gradient Boosting</x:v>
      </x:c>
      <x:c r="F22" s="80" t="n">
        <x:v>0.133052</x:v>
      </x:c>
      <x:c r="G22" s="80" t="n">
        <x:v>0.95</x:v>
      </x:c>
      <x:c r="H22" s="74" t="n">
        <x:v>18</x:v>
      </x:c>
      <x:c r="I22" s="74" t="n">
        <x:v>118.666</x:v>
      </x:c>
      <x:c r="J22" s="74" t="n">
        <x:v>6170.649</x:v>
      </x:c>
      <x:c r="K22" s="74" t="n">
        <x:v>706</x:v>
      </x:c>
      <x:c r="L22" s="74" t="n">
        <x:v>0</x:v>
      </x:c>
      <x:c r="M22" s="74" t="n">
        <x:v>706</x:v>
      </x:c>
      <x:c r="N22" s="74" t="n">
        <x:v>5.949</x:v>
      </x:c>
      <x:c r="O22" s="74" t="n">
        <x:v>49.121</x:v>
      </x:c>
      <x:c r="P22" s="74" t="n">
        <x:v>354.263</x:v>
      </x:c>
      <x:c r="Q22" s="74" t="n">
        <x:v>500.486</x:v>
      </x:c>
      <x:c r="R22" s="74" t="n">
        <x:v>128</x:v>
      </x:c>
      <x:c r="S22" s="79" t="n">
        <x:v>44119.04</x:v>
      </x:c>
      <x:c r="T22" s="79" t="n">
        <x:v>5685721.59</x:v>
      </x:c>
      <x:c r="U22" s="74" t="str">
        <x:v>HEALTHY</x:v>
      </x:c>
    </x:row>
    <x:row r="23" ht="15" hidden="0" customHeight="1">
      <x:c r="A23" s="74" t="str">
        <x:v>ACC-008</x:v>
      </x:c>
      <x:c r="B23" s="74" t="str">
        <x:v>Statement Accessorie</x:v>
      </x:c>
      <x:c r="C23" s="74" t="str">
        <x:v>Accessories</x:v>
      </x:c>
      <x:c r="D23" s="74" t="str">
        <x:v>Central Knitworks</x:v>
      </x:c>
      <x:c r="E23" s="74" t="str">
        <x:v>Gradient Boosting</x:v>
      </x:c>
      <x:c r="F23" s="80" t="n">
        <x:v>0.177239</x:v>
      </x:c>
      <x:c r="G23" s="80" t="n">
        <x:v>0.97</x:v>
      </x:c>
      <x:c r="H23" s="74" t="n">
        <x:v>35</x:v>
      </x:c>
      <x:c r="I23" s="74" t="n">
        <x:v>102.368</x:v>
      </x:c>
      <x:c r="J23" s="74" t="n">
        <x:v>5323.125</x:v>
      </x:c>
      <x:c r="K23" s="74" t="n">
        <x:v>277</x:v>
      </x:c>
      <x:c r="L23" s="74" t="n">
        <x:v>632</x:v>
      </x:c>
      <x:c r="M23" s="74" t="n">
        <x:v>909</x:v>
      </x:c>
      <x:c r="N23" s="74" t="n">
        <x:v>8.88</x:v>
      </x:c>
      <x:c r="O23" s="74" t="n">
        <x:v>119.455</x:v>
      </x:c>
      <x:c r="P23" s="74" t="n">
        <x:v>631.294</x:v>
      </x:c>
      <x:c r="Q23" s="74" t="n">
        <x:v>454.006</x:v>
      </x:c>
      <x:c r="R23" s="74" t="n">
        <x:v>132</x:v>
      </x:c>
      <x:c r="S23" s="79" t="n">
        <x:v>37299.24</x:v>
      </x:c>
      <x:c r="T23" s="79" t="n">
        <x:v>4279747.65</x:v>
      </x:c>
      <x:c r="U23" s="74" t="str">
        <x:v>HEALTHY</x:v>
      </x:c>
    </x:row>
    <x:row r="24" ht="15" hidden="0" customHeight="1">
      <x:c r="A24" s="74" t="str">
        <x:v>TOP-006</x:v>
      </x:c>
      <x:c r="B24" s="74" t="str">
        <x:v>Oxford Top</x:v>
      </x:c>
      <x:c r="C24" s="74" t="str">
        <x:v>Tops</x:v>
      </x:c>
      <x:c r="D24" s="74" t="str">
        <x:v>Istanbul Leather</x:v>
      </x:c>
      <x:c r="E24" s="74" t="str">
        <x:v>Gradient Boosting</x:v>
      </x:c>
      <x:c r="F24" s="80" t="n">
        <x:v>0.093169</x:v>
      </x:c>
      <x:c r="G24" s="80" t="n">
        <x:v>0.95</x:v>
      </x:c>
      <x:c r="H24" s="74" t="n">
        <x:v>28</x:v>
      </x:c>
      <x:c r="I24" s="74" t="n">
        <x:v>107.166</x:v>
      </x:c>
      <x:c r="J24" s="74" t="n">
        <x:v>5572.611</x:v>
      </x:c>
      <x:c r="K24" s="74" t="n">
        <x:v>882</x:v>
      </x:c>
      <x:c r="L24" s="74" t="n">
        <x:v>0</x:v>
      </x:c>
      <x:c r="M24" s="74" t="n">
        <x:v>882</x:v>
      </x:c>
      <x:c r="N24" s="74" t="n">
        <x:v>8.23</x:v>
      </x:c>
      <x:c r="O24" s="74" t="n">
        <x:v>43.151</x:v>
      </x:c>
      <x:c r="P24" s="74" t="n">
        <x:v>471.813</x:v>
      </x:c>
      <x:c r="Q24" s="74" t="n">
        <x:v>359.519</x:v>
      </x:c>
      <x:c r="R24" s="74" t="n">
        <x:v>48</x:v>
      </x:c>
      <x:c r="S24" s="79" t="n">
        <x:v>32093.76</x:v>
      </x:c>
      <x:c r="T24" s="79" t="n">
        <x:v>9820393.1</x:v>
      </x:c>
      <x:c r="U24" s="74" t="str">
        <x:v>HEALTHY</x:v>
      </x:c>
    </x:row>
    <x:row r="25" ht="15" hidden="0" customHeight="1">
      <x:c r="A25" s="74" t="str">
        <x:v>DRE-007</x:v>
      </x:c>
      <x:c r="B25" s="74" t="str">
        <x:v>Floral Dresse</x:v>
      </x:c>
      <x:c r="C25" s="74" t="str">
        <x:v>Dresses</x:v>
      </x:c>
      <x:c r="D25" s="74" t="str">
        <x:v>Marmara Apparel</x:v>
      </x:c>
      <x:c r="E25" s="74" t="str">
        <x:v>Seasonal Naive</x:v>
      </x:c>
      <x:c r="F25" s="80" t="n">
        <x:v>0.218898</x:v>
      </x:c>
      <x:c r="G25" s="80" t="n">
        <x:v>0.98</x:v>
      </x:c>
      <x:c r="H25" s="74" t="n">
        <x:v>18</x:v>
      </x:c>
      <x:c r="I25" s="74" t="n">
        <x:v>56.519</x:v>
      </x:c>
      <x:c r="J25" s="74" t="n">
        <x:v>2939</x:v>
      </x:c>
      <x:c r="K25" s="74" t="n">
        <x:v>404</x:v>
      </x:c>
      <x:c r="L25" s="74" t="n">
        <x:v>0</x:v>
      </x:c>
      <x:c r="M25" s="74" t="n">
        <x:v>404</x:v>
      </x:c>
      <x:c r="N25" s="74" t="n">
        <x:v>7.148</x:v>
      </x:c>
      <x:c r="O25" s="74" t="n">
        <x:v>45.892</x:v>
      </x:c>
      <x:c r="P25" s="74" t="n">
        <x:v>191.228</x:v>
      </x:c>
      <x:c r="Q25" s="74" t="n">
        <x:v>182.171</x:v>
      </x:c>
      <x:c r="R25" s="74" t="n">
        <x:v>24</x:v>
      </x:c>
      <x:c r="S25" s="79" t="n">
        <x:v>29738.64</x:v>
      </x:c>
      <x:c r="T25" s="79" t="n">
        <x:v>8702599.5</x:v>
      </x:c>
      <x:c r="U25" s="74" t="str">
        <x:v>HEALTHY</x:v>
      </x:c>
    </x:row>
    <x:row r="26" ht="15" hidden="0" customHeight="1">
      <x:c r="A26" s="74" t="str">
        <x:v>KNI-005</x:v>
      </x:c>
      <x:c r="B26" s="74" t="str">
        <x:v>Mockneck Knitwear</x:v>
      </x:c>
      <x:c r="C26" s="74" t="str">
        <x:v>Knitwear</x:v>
      </x:c>
      <x:c r="D26" s="74" t="str">
        <x:v>Marmara Apparel</x:v>
      </x:c>
      <x:c r="E26" s="74" t="str">
        <x:v>Gradient Boosting</x:v>
      </x:c>
      <x:c r="F26" s="80" t="n">
        <x:v>0.255649</x:v>
      </x:c>
      <x:c r="G26" s="80" t="n">
        <x:v>0.95</x:v>
      </x:c>
      <x:c r="H26" s="74" t="n">
        <x:v>18</x:v>
      </x:c>
      <x:c r="I26" s="74" t="n">
        <x:v>76.367</x:v>
      </x:c>
      <x:c r="J26" s="74" t="n">
        <x:v>3971.083</x:v>
      </x:c>
      <x:c r="K26" s="74" t="n">
        <x:v>524</x:v>
      </x:c>
      <x:c r="L26" s="74" t="n">
        <x:v>0</x:v>
      </x:c>
      <x:c r="M26" s="74" t="n">
        <x:v>524</x:v>
      </x:c>
      <x:c r="N26" s="74" t="n">
        <x:v>6.862</x:v>
      </x:c>
      <x:c r="O26" s="74" t="n">
        <x:v>84.164</x:v>
      </x:c>
      <x:c r="P26" s="74" t="n">
        <x:v>280.536</x:v>
      </x:c>
      <x:c r="Q26" s="74" t="n">
        <x:v>377.419</x:v>
      </x:c>
      <x:c r="R26" s="74" t="n">
        <x:v>64</x:v>
      </x:c>
      <x:c r="S26" s="79" t="n">
        <x:v>24963.84</x:v>
      </x:c>
      <x:c r="T26" s="79" t="n">
        <x:v>3774422.98</x:v>
      </x:c>
      <x:c r="U26" s="74" t="str">
        <x:v>HEALTHY</x:v>
      </x:c>
    </x:row>
    <x:row r="27" ht="15" hidden="0" customHeight="1">
      <x:c r="A27" s="74" t="str">
        <x:v>ACC-004</x:v>
      </x:c>
      <x:c r="B27" s="74" t="str">
        <x:v>Minimal Accessorie</x:v>
      </x:c>
      <x:c r="C27" s="74" t="str">
        <x:v>Accessories</x:v>
      </x:c>
      <x:c r="D27" s="74" t="str">
        <x:v>Anatolia Textiles</x:v>
      </x:c>
      <x:c r="E27" s="74" t="str">
        <x:v>Gradient Boosting</x:v>
      </x:c>
      <x:c r="F27" s="80" t="n">
        <x:v>0.114769</x:v>
      </x:c>
      <x:c r="G27" s="80" t="n">
        <x:v>0.95</x:v>
      </x:c>
      <x:c r="H27" s="74" t="n">
        <x:v>10</x:v>
      </x:c>
      <x:c r="I27" s="74" t="n">
        <x:v>91.605</x:v>
      </x:c>
      <x:c r="J27" s="74" t="n">
        <x:v>4763.467</x:v>
      </x:c>
      <x:c r="K27" s="74" t="n">
        <x:v>472</x:v>
      </x:c>
      <x:c r="L27" s="74" t="n">
        <x:v>0</x:v>
      </x:c>
      <x:c r="M27" s="74" t="n">
        <x:v>472</x:v>
      </x:c>
      <x:c r="N27" s="74" t="n">
        <x:v>5.153</x:v>
      </x:c>
      <x:c r="O27" s="74" t="n">
        <x:v>35.651</x:v>
      </x:c>
      <x:c r="P27" s="74" t="n">
        <x:v>166.515</x:v>
      </x:c>
      <x:c r="Q27" s="74" t="n">
        <x:v>415.387</x:v>
      </x:c>
      <x:c r="R27" s="74" t="n">
        <x:v>72</x:v>
      </x:c>
      <x:c r="S27" s="79" t="n">
        <x:v>23156.64</x:v>
      </x:c>
      <x:c r="T27" s="79" t="n">
        <x:v>4517102.3</x:v>
      </x:c>
      <x:c r="U27" s="74" t="str">
        <x:v>HEALTHY</x:v>
      </x:c>
    </x:row>
    <x:row r="28" ht="15" hidden="0" customHeight="1">
      <x:c r="A28" s="74" t="str">
        <x:v>TOP-002</x:v>
      </x:c>
      <x:c r="B28" s="74" t="str">
        <x:v>Cotton Top</x:v>
      </x:c>
      <x:c r="C28" s="74" t="str">
        <x:v>Tops</x:v>
      </x:c>
      <x:c r="D28" s="74" t="str">
        <x:v>Aegean Atelier</x:v>
      </x:c>
      <x:c r="E28" s="74" t="str">
        <x:v>Gradient Boosting</x:v>
      </x:c>
      <x:c r="F28" s="80" t="n">
        <x:v>0.1789</x:v>
      </x:c>
      <x:c r="G28" s="80" t="n">
        <x:v>0.97</x:v>
      </x:c>
      <x:c r="H28" s="74" t="n">
        <x:v>14</x:v>
      </x:c>
      <x:c r="I28" s="74" t="n">
        <x:v>83.523</x:v>
      </x:c>
      <x:c r="J28" s="74" t="n">
        <x:v>4343.193</x:v>
      </x:c>
      <x:c r="K28" s="74" t="n">
        <x:v>514</x:v>
      </x:c>
      <x:c r="L28" s="74" t="n">
        <x:v>0</x:v>
      </x:c>
      <x:c r="M28" s="74" t="n">
        <x:v>514</x:v>
      </x:c>
      <x:c r="N28" s="74" t="n">
        <x:v>6.154</x:v>
      </x:c>
      <x:c r="O28" s="74" t="n">
        <x:v>38.483</x:v>
      </x:c>
      <x:c r="P28" s="74" t="n">
        <x:v>205.529</x:v>
      </x:c>
      <x:c r="Q28" s="74" t="n">
        <x:v>438.391</x:v>
      </x:c>
      <x:c r="R28" s="74" t="n">
        <x:v>30</x:v>
      </x:c>
      <x:c r="S28" s="79" t="n">
        <x:v>16610.1</x:v>
      </x:c>
      <x:c r="T28" s="79" t="n">
        <x:v>6444385.51</x:v>
      </x:c>
      <x:c r="U28" s="74" t="str">
        <x:v>HEALTHY</x:v>
      </x:c>
    </x:row>
    <x:row r="29" ht="15" hidden="0" customHeight="1">
      <x:c r="A29" s="74" t="str">
        <x:v>ACC-002</x:v>
      </x:c>
      <x:c r="B29" s="74" t="str">
        <x:v>Silk Accessorie</x:v>
      </x:c>
      <x:c r="C29" s="74" t="str">
        <x:v>Accessories</x:v>
      </x:c>
      <x:c r="D29" s="74" t="str">
        <x:v>Istanbul Leather</x:v>
      </x:c>
      <x:c r="E29" s="74" t="str">
        <x:v>Seasonal Naive</x:v>
      </x:c>
      <x:c r="F29" s="80" t="n">
        <x:v>0.17052</x:v>
      </x:c>
      <x:c r="G29" s="80" t="n">
        <x:v>0.97</x:v>
      </x:c>
      <x:c r="H29" s="74" t="n">
        <x:v>28</x:v>
      </x:c>
      <x:c r="I29" s="74" t="n">
        <x:v>73.058</x:v>
      </x:c>
      <x:c r="J29" s="74" t="n">
        <x:v>3799</x:v>
      </x:c>
      <x:c r="K29" s="74" t="n">
        <x:v>155</x:v>
      </x:c>
      <x:c r="L29" s="74" t="n">
        <x:v>488</x:v>
      </x:c>
      <x:c r="M29" s="74" t="n">
        <x:v>643</x:v>
      </x:c>
      <x:c r="N29" s="74" t="n">
        <x:v>8.801</x:v>
      </x:c>
      <x:c r="O29" s="74" t="n">
        <x:v>102.688</x:v>
      </x:c>
      <x:c r="P29" s="74" t="n">
        <x:v>394.918</x:v>
      </x:c>
      <x:c r="Q29" s="74" t="n">
        <x:v>488.947</x:v>
      </x:c>
      <x:c r="R29" s="74" t="n">
        <x:v>48</x:v>
      </x:c>
      <x:c r="S29" s="79" t="n">
        <x:v>11829.12</x:v>
      </x:c>
      <x:c r="T29" s="79" t="n">
        <x:v>2713125.8</x:v>
      </x:c>
      <x:c r="U29" s="74" t="str">
        <x:v>HEALTHY</x:v>
      </x:c>
    </x:row>
    <x:row r="30" ht="15" hidden="0" customHeight="1">
      <x:c r="A30" s="74" t="str">
        <x:v>BOT-007</x:v>
      </x:c>
      <x:c r="B30" s="74" t="str">
        <x:v>Cropped Bottom</x:v>
      </x:c>
      <x:c r="C30" s="74" t="str">
        <x:v>Bottoms</x:v>
      </x:c>
      <x:c r="D30" s="74" t="str">
        <x:v>Marmara Apparel</x:v>
      </x:c>
      <x:c r="E30" s="74" t="str">
        <x:v>Gradient Boosting</x:v>
      </x:c>
      <x:c r="F30" s="80" t="n">
        <x:v>0.175039</x:v>
      </x:c>
      <x:c r="G30" s="80" t="n">
        <x:v>0.93</x:v>
      </x:c>
      <x:c r="H30" s="74" t="n">
        <x:v>18</x:v>
      </x:c>
      <x:c r="I30" s="74" t="n">
        <x:v>76.562</x:v>
      </x:c>
      <x:c r="J30" s="74" t="n">
        <x:v>3981.206</x:v>
      </x:c>
      <x:c r="K30" s="74" t="n">
        <x:v>531</x:v>
      </x:c>
      <x:c r="L30" s="74" t="n">
        <x:v>0</x:v>
      </x:c>
      <x:c r="M30" s="74" t="n">
        <x:v>531</x:v>
      </x:c>
      <x:c r="N30" s="74" t="n">
        <x:v>6.936</x:v>
      </x:c>
      <x:c r="O30" s="74" t="n">
        <x:v>42.6</x:v>
      </x:c>
      <x:c r="P30" s="74" t="n">
        <x:v>239.473</x:v>
      </x:c>
      <x:c r="Q30" s="74" t="n">
        <x:v>277.357</x:v>
      </x:c>
      <x:c r="R30" s="74" t="n">
        <x:v>16</x:v>
      </x:c>
      <x:c r="S30" s="79" t="n">
        <x:v>11585.76</x:v>
      </x:c>
      <x:c r="T30" s="79" t="n">
        <x:v>7186866.34</x:v>
      </x:c>
      <x:c r="U30" s="74" t="str">
        <x:v>HEALTHY</x:v>
      </x:c>
    </x:row>
    <x:row r="31" ht="15" hidden="0" customHeight="1">
      <x:c r="A31" s="74" t="str">
        <x:v>ACC-006</x:v>
      </x:c>
      <x:c r="B31" s="74" t="str">
        <x:v>Structured Accessorie</x:v>
      </x:c>
      <x:c r="C31" s="74" t="str">
        <x:v>Accessories</x:v>
      </x:c>
      <x:c r="D31" s="74" t="str">
        <x:v>Aegean Atelier</x:v>
      </x:c>
      <x:c r="E31" s="74" t="str">
        <x:v>Gradient Boosting</x:v>
      </x:c>
      <x:c r="F31" s="80" t="n">
        <x:v>0.177324</x:v>
      </x:c>
      <x:c r="G31" s="80" t="n">
        <x:v>0.98</x:v>
      </x:c>
      <x:c r="H31" s="74" t="n">
        <x:v>14</x:v>
      </x:c>
      <x:c r="I31" s="74" t="n">
        <x:v>116.968</x:v>
      </x:c>
      <x:c r="J31" s="74" t="n">
        <x:v>6082.343</x:v>
      </x:c>
      <x:c r="K31" s="74" t="n">
        <x:v>772</x:v>
      </x:c>
      <x:c r="L31" s="74" t="n">
        <x:v>0</x:v>
      </x:c>
      <x:c r="M31" s="74" t="n">
        <x:v>772</x:v>
      </x:c>
      <x:c r="N31" s="74" t="n">
        <x:v>6.6</x:v>
      </x:c>
      <x:c r="O31" s="74" t="n">
        <x:v>98.58</x:v>
      </x:c>
      <x:c r="P31" s="74" t="n">
        <x:v>332.516</x:v>
      </x:c>
      <x:c r="Q31" s="74" t="n">
        <x:v>925.431</x:v>
      </x:c>
      <x:c r="R31" s="74" t="n">
        <x:v>32</x:v>
      </x:c>
      <x:c r="S31" s="79" t="n">
        <x:v>5568</x:v>
      </x:c>
      <x:c r="T31" s="79" t="n">
        <x:v>3077377.85</x:v>
      </x:c>
      <x:c r="U31" s="74" t="str">
        <x:v>HEALTHY</x:v>
      </x:c>
    </x:row>
    <x:row r="32" ht="15" hidden="0" customHeight="1">
      <x:c r="A32" s="74" t="str">
        <x:v>DRE-001</x:v>
      </x:c>
      <x:c r="B32" s="74" t="str">
        <x:v>Satin Dresse</x:v>
      </x:c>
      <x:c r="C32" s="74" t="str">
        <x:v>Dresses</x:v>
      </x:c>
      <x:c r="D32" s="74" t="str">
        <x:v>Bosporus Accessories</x:v>
      </x:c>
      <x:c r="E32" s="74" t="str">
        <x:v>Gradient Boosting</x:v>
      </x:c>
      <x:c r="F32" s="80" t="n">
        <x:v>0.188583</x:v>
      </x:c>
      <x:c r="G32" s="80" t="n">
        <x:v>0.95</x:v>
      </x:c>
      <x:c r="H32" s="74" t="n">
        <x:v>7</x:v>
      </x:c>
      <x:c r="I32" s="74" t="n">
        <x:v>94.416</x:v>
      </x:c>
      <x:c r="J32" s="74" t="n">
        <x:v>4909.651</x:v>
      </x:c>
      <x:c r="K32" s="74" t="n">
        <x:v>0</x:v>
      </x:c>
      <x:c r="L32" s="74" t="n">
        <x:v>592</x:v>
      </x:c>
      <x:c r="M32" s="74" t="n">
        <x:v>592</x:v>
      </x:c>
      <x:c r="N32" s="74" t="n">
        <x:v>6.27</x:v>
      </x:c>
      <x:c r="O32" s="74" t="n">
        <x:v>38.789</x:v>
      </x:c>
      <x:c r="P32" s="74" t="n">
        <x:v>133.205</x:v>
      </x:c>
      <x:c r="Q32" s="74" t="n">
        <x:v>322.004</x:v>
      </x:c>
      <x:c r="R32" s="74" t="n">
        <x:v>0</x:v>
      </x:c>
      <x:c r="S32" s="79" t="n">
        <x:v>0</x:v>
      </x:c>
      <x:c r="T32" s="79" t="n">
        <x:v>12941415.97</x:v>
      </x:c>
      <x:c r="U32" s="74" t="str">
        <x:v>HEALTHY</x:v>
      </x:c>
    </x:row>
    <x:row r="33" ht="15" hidden="0" customHeight="1">
      <x:c r="A33" s="74" t="str">
        <x:v>DRE-004</x:v>
      </x:c>
      <x:c r="B33" s="74" t="str">
        <x:v>Linen Dresse</x:v>
      </x:c>
      <x:c r="C33" s="74" t="str">
        <x:v>Dresses</x:v>
      </x:c>
      <x:c r="D33" s="74" t="str">
        <x:v>Istanbul Leather</x:v>
      </x:c>
      <x:c r="E33" s="74" t="str">
        <x:v>Gradient Boosting</x:v>
      </x:c>
      <x:c r="F33" s="80" t="n">
        <x:v>0.162361</x:v>
      </x:c>
      <x:c r="G33" s="80" t="n">
        <x:v>0.95</x:v>
      </x:c>
      <x:c r="H33" s="74" t="n">
        <x:v>28</x:v>
      </x:c>
      <x:c r="I33" s="74" t="n">
        <x:v>96.39</x:v>
      </x:c>
      <x:c r="J33" s="74" t="n">
        <x:v>5012.304</x:v>
      </x:c>
      <x:c r="K33" s="74" t="n">
        <x:v>314</x:v>
      </x:c>
      <x:c r="L33" s="74" t="n">
        <x:v>636</x:v>
      </x:c>
      <x:c r="M33" s="74" t="n">
        <x:v>950</x:v>
      </x:c>
      <x:c r="N33" s="74" t="n">
        <x:v>9.856</x:v>
      </x:c>
      <x:c r="O33" s="74" t="n">
        <x:v>65.807</x:v>
      </x:c>
      <x:c r="P33" s="74" t="n">
        <x:v>451.369</x:v>
      </x:c>
      <x:c r="Q33" s="74" t="n">
        <x:v>239.639</x:v>
      </x:c>
      <x:c r="R33" s="74" t="n">
        <x:v>0</x:v>
      </x:c>
      <x:c r="S33" s="79" t="n">
        <x:v>0</x:v>
      </x:c>
      <x:c r="T33" s="79" t="n">
        <x:v>14695885.07</x:v>
      </x:c>
      <x:c r="U33" s="74" t="str">
        <x:v>HEALTHY</x:v>
      </x:c>
    </x:row>
    <x:row r="34" ht="15" hidden="0" customHeight="1">
      <x:c r="A34" s="74" t="str">
        <x:v>DRE-005</x:v>
      </x:c>
      <x:c r="B34" s="74" t="str">
        <x:v>Evening Dresse</x:v>
      </x:c>
      <x:c r="C34" s="74" t="str">
        <x:v>Dresses</x:v>
      </x:c>
      <x:c r="D34" s="74" t="str">
        <x:v>Mediterranean Fashion Supply</x:v>
      </x:c>
      <x:c r="E34" s="74" t="str">
        <x:v>Gradient Boosting</x:v>
      </x:c>
      <x:c r="F34" s="80" t="n">
        <x:v>0.149879</x:v>
      </x:c>
      <x:c r="G34" s="80" t="n">
        <x:v>0.95</x:v>
      </x:c>
      <x:c r="H34" s="74" t="n">
        <x:v>7</x:v>
      </x:c>
      <x:c r="I34" s="74" t="n">
        <x:v>90.241</x:v>
      </x:c>
      <x:c r="J34" s="74" t="n">
        <x:v>4692.522</x:v>
      </x:c>
      <x:c r="K34" s="74" t="n">
        <x:v>0</x:v>
      </x:c>
      <x:c r="L34" s="74" t="n">
        <x:v>552</x:v>
      </x:c>
      <x:c r="M34" s="74" t="n">
        <x:v>552</x:v>
      </x:c>
      <x:c r="N34" s="74" t="n">
        <x:v>6.117</x:v>
      </x:c>
      <x:c r="O34" s="74" t="n">
        <x:v>30.032</x:v>
      </x:c>
      <x:c r="P34" s="74" t="n">
        <x:v>120.273</x:v>
      </x:c>
      <x:c r="Q34" s="74" t="n">
        <x:v>394.313</x:v>
      </x:c>
      <x:c r="R34" s="74" t="n">
        <x:v>0</x:v>
      </x:c>
      <x:c r="S34" s="79" t="n">
        <x:v>0</x:v>
      </x:c>
      <x:c r="T34" s="79" t="n">
        <x:v>9145587.18</x:v>
      </x:c>
      <x:c r="U34" s="74" t="str">
        <x:v>HEALTHY</x:v>
      </x:c>
    </x:row>
    <x:row r="35" ht="15" hidden="0" customHeight="1">
      <x:c r="A35" s="74" t="str">
        <x:v>DRE-006</x:v>
      </x:c>
      <x:c r="B35" s="74" t="str">
        <x:v>Ribbed Dresse</x:v>
      </x:c>
      <x:c r="C35" s="74" t="str">
        <x:v>Dresses</x:v>
      </x:c>
      <x:c r="D35" s="74" t="str">
        <x:v>Anatolia Textiles</x:v>
      </x:c>
      <x:c r="E35" s="74" t="str">
        <x:v>Gradient Boosting</x:v>
      </x:c>
      <x:c r="F35" s="80" t="n">
        <x:v>0.161884</x:v>
      </x:c>
      <x:c r="G35" s="80" t="n">
        <x:v>0.97</x:v>
      </x:c>
      <x:c r="H35" s="74" t="n">
        <x:v>10</x:v>
      </x:c>
      <x:c r="I35" s="74" t="n">
        <x:v>98.077</x:v>
      </x:c>
      <x:c r="J35" s="74" t="n">
        <x:v>5100.003</x:v>
      </x:c>
      <x:c r="K35" s="74" t="n">
        <x:v>707</x:v>
      </x:c>
      <x:c r="L35" s="74" t="n">
        <x:v>0</x:v>
      </x:c>
      <x:c r="M35" s="74" t="n">
        <x:v>707</x:v>
      </x:c>
      <x:c r="N35" s="74" t="n">
        <x:v>7.209</x:v>
      </x:c>
      <x:c r="O35" s="74" t="n">
        <x:v>49.377</x:v>
      </x:c>
      <x:c r="P35" s="74" t="n">
        <x:v>189.487</x:v>
      </x:c>
      <x:c r="Q35" s="74" t="n">
        <x:v>212.265</x:v>
      </x:c>
      <x:c r="R35" s="74" t="n">
        <x:v>0</x:v>
      </x:c>
      <x:c r="S35" s="79" t="n">
        <x:v>0</x:v>
      </x:c>
      <x:c r="T35" s="79" t="n">
        <x:v>15121058.38</x:v>
      </x:c>
      <x:c r="U35" s="74" t="str">
        <x:v>HEALTHY</x:v>
      </x:c>
    </x:row>
    <x:row r="36" ht="15" hidden="0" customHeight="1">
      <x:c r="A36" s="74" t="str">
        <x:v>DRE-009</x:v>
      </x:c>
      <x:c r="B36" s="74" t="str">
        <x:v>Pleated Dresse</x:v>
      </x:c>
      <x:c r="C36" s="74" t="str">
        <x:v>Dresses</x:v>
      </x:c>
      <x:c r="D36" s="74" t="str">
        <x:v>Bosporus Accessories</x:v>
      </x:c>
      <x:c r="E36" s="74" t="str">
        <x:v>Gradient Boosting</x:v>
      </x:c>
      <x:c r="F36" s="80" t="n">
        <x:v>0.18373</x:v>
      </x:c>
      <x:c r="G36" s="80" t="n">
        <x:v>0.98</x:v>
      </x:c>
      <x:c r="H36" s="74" t="n">
        <x:v>7</x:v>
      </x:c>
      <x:c r="I36" s="74" t="n">
        <x:v>81.414</x:v>
      </x:c>
      <x:c r="J36" s="74" t="n">
        <x:v>4233.551</x:v>
      </x:c>
      <x:c r="K36" s="74" t="n">
        <x:v>0</x:v>
      </x:c>
      <x:c r="L36" s="74" t="n">
        <x:v>480</x:v>
      </x:c>
      <x:c r="M36" s="74" t="n">
        <x:v>480</x:v>
      </x:c>
      <x:c r="N36" s="74" t="n">
        <x:v>5.896</x:v>
      </x:c>
      <x:c r="O36" s="74" t="n">
        <x:v>33.684</x:v>
      </x:c>
      <x:c r="P36" s="74" t="n">
        <x:v>115.098</x:v>
      </x:c>
      <x:c r="Q36" s="74" t="n">
        <x:v>360.282</x:v>
      </x:c>
      <x:c r="R36" s="74" t="n">
        <x:v>0</x:v>
      </x:c>
      <x:c r="S36" s="79" t="n">
        <x:v>0</x:v>
      </x:c>
      <x:c r="T36" s="79" t="n">
        <x:v>7470453.24</x:v>
      </x:c>
      <x:c r="U36" s="74" t="str">
        <x:v>HEALTHY</x:v>
      </x:c>
    </x:row>
    <x:row r="37" ht="15" hidden="0" customHeight="1">
      <x:c r="A37" s="74" t="str">
        <x:v>KNI-003</x:v>
      </x:c>
      <x:c r="B37" s="74" t="str">
        <x:v>Soft Knitwear</x:v>
      </x:c>
      <x:c r="C37" s="74" t="str">
        <x:v>Knitwear</x:v>
      </x:c>
      <x:c r="D37" s="74" t="str">
        <x:v>Mediterranean Fashion Supply</x:v>
      </x:c>
      <x:c r="E37" s="74" t="str">
        <x:v>Gradient Boosting</x:v>
      </x:c>
      <x:c r="F37" s="80" t="n">
        <x:v>0.170409</x:v>
      </x:c>
      <x:c r="G37" s="80" t="n">
        <x:v>0.97</x:v>
      </x:c>
      <x:c r="H37" s="74" t="n">
        <x:v>7</x:v>
      </x:c>
      <x:c r="I37" s="74" t="n">
        <x:v>80.542</x:v>
      </x:c>
      <x:c r="J37" s="74" t="n">
        <x:v>4188.209</x:v>
      </x:c>
      <x:c r="K37" s="74" t="n">
        <x:v>0</x:v>
      </x:c>
      <x:c r="L37" s="74" t="n">
        <x:v>500</x:v>
      </x:c>
      <x:c r="M37" s="74" t="n">
        <x:v>500</x:v>
      </x:c>
      <x:c r="N37" s="74" t="n">
        <x:v>6.208</x:v>
      </x:c>
      <x:c r="O37" s="74" t="n">
        <x:v>40.155</x:v>
      </x:c>
      <x:c r="P37" s="74" t="n">
        <x:v>120.697</x:v>
      </x:c>
      <x:c r="Q37" s="74" t="n">
        <x:v>357.144</x:v>
      </x:c>
      <x:c r="R37" s="74" t="n">
        <x:v>0</x:v>
      </x:c>
      <x:c r="S37" s="79" t="n">
        <x:v>0</x:v>
      </x:c>
      <x:c r="T37" s="79" t="n">
        <x:v>7680105.01</x:v>
      </x:c>
      <x:c r="U37" s="74" t="str">
        <x:v>HEALTHY</x:v>
      </x:c>
    </x:row>
    <x:row r="38" ht="15" hidden="0" customHeight="1">
      <x:c r="A38" s="74" t="str">
        <x:v>KNI-004</x:v>
      </x:c>
      <x:c r="B38" s="74" t="str">
        <x:v>Ribbed Knitwear</x:v>
      </x:c>
      <x:c r="C38" s="74" t="str">
        <x:v>Knitwear</x:v>
      </x:c>
      <x:c r="D38" s="74" t="str">
        <x:v>Anatolia Textiles</x:v>
      </x:c>
      <x:c r="E38" s="74" t="str">
        <x:v>Gradient Boosting</x:v>
      </x:c>
      <x:c r="F38" s="80" t="n">
        <x:v>0.103222</x:v>
      </x:c>
      <x:c r="G38" s="80" t="n">
        <x:v>0.97</x:v>
      </x:c>
      <x:c r="H38" s="74" t="n">
        <x:v>10</x:v>
      </x:c>
      <x:c r="I38" s="74" t="n">
        <x:v>72.472</x:v>
      </x:c>
      <x:c r="J38" s="74" t="n">
        <x:v>3768.551</x:v>
      </x:c>
      <x:c r="K38" s="74" t="n">
        <x:v>68</x:v>
      </x:c>
      <x:c r="L38" s="74" t="n">
        <x:v>396</x:v>
      </x:c>
      <x:c r="M38" s="74" t="n">
        <x:v>464</x:v>
      </x:c>
      <x:c r="N38" s="74" t="n">
        <x:v>6.402</x:v>
      </x:c>
      <x:c r="O38" s="74" t="n">
        <x:v>27.297</x:v>
      </x:c>
      <x:c r="P38" s="74" t="n">
        <x:v>130.829</x:v>
      </x:c>
      <x:c r="Q38" s="74" t="n">
        <x:v>265.264</x:v>
      </x:c>
      <x:c r="R38" s="74" t="n">
        <x:v>0</x:v>
      </x:c>
      <x:c r="S38" s="79" t="n">
        <x:v>0</x:v>
      </x:c>
      <x:c r="T38" s="79" t="n">
        <x:v>5116158.74</x:v>
      </x:c>
      <x:c r="U38" s="74" t="str">
        <x:v>HEALTHY</x:v>
      </x:c>
    </x:row>
    <x:row r="39" ht="15" hidden="0" customHeight="1">
      <x:c r="A39" s="74" t="str">
        <x:v>KNI-007</x:v>
      </x:c>
      <x:c r="B39" s="74" t="str">
        <x:v>Fine Knitwear</x:v>
      </x:c>
      <x:c r="C39" s="74" t="str">
        <x:v>Knitwear</x:v>
      </x:c>
      <x:c r="D39" s="74" t="str">
        <x:v>Bosporus Accessories</x:v>
      </x:c>
      <x:c r="E39" s="74" t="str">
        <x:v>Gradient Boosting</x:v>
      </x:c>
      <x:c r="F39" s="80" t="n">
        <x:v>0.088043</x:v>
      </x:c>
      <x:c r="G39" s="80" t="n">
        <x:v>0.95</x:v>
      </x:c>
      <x:c r="H39" s="74" t="n">
        <x:v>7</x:v>
      </x:c>
      <x:c r="I39" s="74" t="n">
        <x:v>86.544</x:v>
      </x:c>
      <x:c r="J39" s="74" t="n">
        <x:v>4500.304</x:v>
      </x:c>
      <x:c r="K39" s="74" t="n">
        <x:v>0</x:v>
      </x:c>
      <x:c r="L39" s="74" t="n">
        <x:v>510</x:v>
      </x:c>
      <x:c r="M39" s="74" t="n">
        <x:v>510</x:v>
      </x:c>
      <x:c r="N39" s="74" t="n">
        <x:v>5.893</x:v>
      </x:c>
      <x:c r="O39" s="74" t="n">
        <x:v>22.125</x:v>
      </x:c>
      <x:c r="P39" s="74" t="n">
        <x:v>108.669</x:v>
      </x:c>
      <x:c r="Q39" s="74" t="n">
        <x:v>386.584</x:v>
      </x:c>
      <x:c r="R39" s="74" t="n">
        <x:v>0</x:v>
      </x:c>
      <x:c r="S39" s="79" t="n">
        <x:v>0</x:v>
      </x:c>
      <x:c r="T39" s="79" t="n">
        <x:v>7682286.78</x:v>
      </x:c>
      <x:c r="U39" s="74" t="str">
        <x:v>HEALTHY</x:v>
      </x:c>
    </x:row>
    <x:row r="40" ht="15" hidden="0" customHeight="1">
      <x:c r="A40" s="74" t="str">
        <x:v>OUT-002</x:v>
      </x:c>
      <x:c r="B40" s="74" t="str">
        <x:v>Wool Outerwear</x:v>
      </x:c>
      <x:c r="C40" s="74" t="str">
        <x:v>Outerwear</x:v>
      </x:c>
      <x:c r="D40" s="74" t="str">
        <x:v>Anatolia Textiles</x:v>
      </x:c>
      <x:c r="E40" s="74" t="str">
        <x:v>Gradient Boosting</x:v>
      </x:c>
      <x:c r="F40" s="80" t="n">
        <x:v>0.157984</x:v>
      </x:c>
      <x:c r="G40" s="80" t="n">
        <x:v>0.97</x:v>
      </x:c>
      <x:c r="H40" s="74" t="n">
        <x:v>10</x:v>
      </x:c>
      <x:c r="I40" s="74" t="n">
        <x:v>63.804</x:v>
      </x:c>
      <x:c r="J40" s="74" t="n">
        <x:v>3317.799</x:v>
      </x:c>
      <x:c r="K40" s="74" t="n">
        <x:v>79</x:v>
      </x:c>
      <x:c r="L40" s="74" t="n">
        <x:v>336</x:v>
      </x:c>
      <x:c r="M40" s="74" t="n">
        <x:v>415</x:v>
      </x:c>
      <x:c r="N40" s="74" t="n">
        <x:v>6.504</x:v>
      </x:c>
      <x:c r="O40" s="74" t="n">
        <x:v>32.445</x:v>
      </x:c>
      <x:c r="P40" s="74" t="n">
        <x:v>123.593</x:v>
      </x:c>
      <x:c r="Q40" s="74" t="n">
        <x:v>165.417</x:v>
      </x:c>
      <x:c r="R40" s="74" t="n">
        <x:v>0</x:v>
      </x:c>
      <x:c r="S40" s="79" t="n">
        <x:v>0</x:v>
      </x:c>
      <x:c r="T40" s="79" t="n">
        <x:v>10195272.35</x:v>
      </x:c>
      <x:c r="U40" s="74" t="str">
        <x:v>HEALTHY</x:v>
      </x:c>
    </x:row>
    <x:row r="41" ht="15" hidden="0" customHeight="1">
      <x:c r="A41" s="74" t="str">
        <x:v>OUT-004</x:v>
      </x:c>
      <x:c r="B41" s="74" t="str">
        <x:v>Tailored Outerwear</x:v>
      </x:c>
      <x:c r="C41" s="74" t="str">
        <x:v>Outerwear</x:v>
      </x:c>
      <x:c r="D41" s="74" t="str">
        <x:v>Aegean Atelier</x:v>
      </x:c>
      <x:c r="E41" s="74" t="str">
        <x:v>Gradient Boosting</x:v>
      </x:c>
      <x:c r="F41" s="80" t="n">
        <x:v>0.161421</x:v>
      </x:c>
      <x:c r="G41" s="80" t="n">
        <x:v>0.97</x:v>
      </x:c>
      <x:c r="H41" s="74" t="n">
        <x:v>14</x:v>
      </x:c>
      <x:c r="I41" s="74" t="n">
        <x:v>32.514</x:v>
      </x:c>
      <x:c r="J41" s="74" t="n">
        <x:v>1690.727</x:v>
      </x:c>
      <x:c r="K41" s="74" t="n">
        <x:v>33</x:v>
      </x:c>
      <x:c r="L41" s="74" t="n">
        <x:v>198</x:v>
      </x:c>
      <x:c r="M41" s="74" t="n">
        <x:v>231</x:v>
      </x:c>
      <x:c r="N41" s="74" t="n">
        <x:v>7.105</x:v>
      </x:c>
      <x:c r="O41" s="74" t="n">
        <x:v>23.008</x:v>
      </x:c>
      <x:c r="P41" s="74" t="n">
        <x:v>88.036</x:v>
      </x:c>
      <x:c r="Q41" s="74" t="n">
        <x:v>163.187</x:v>
      </x:c>
      <x:c r="R41" s="74" t="n">
        <x:v>0</x:v>
      </x:c>
      <x:c r="S41" s="79" t="n">
        <x:v>0</x:v>
      </x:c>
      <x:c r="T41" s="79" t="n">
        <x:v>5376688</x:v>
      </x:c>
      <x:c r="U41" s="74" t="str">
        <x:v>HEALTHY</x:v>
      </x:c>
    </x:row>
    <x:row r="42" ht="15" hidden="0" customHeight="1">
      <x:c r="A42" s="74" t="str">
        <x:v>OUT-010</x:v>
      </x:c>
      <x:c r="B42" s="74" t="str">
        <x:v>Storm Outerwear</x:v>
      </x:c>
      <x:c r="C42" s="74" t="str">
        <x:v>Outerwear</x:v>
      </x:c>
      <x:c r="D42" s="74" t="str">
        <x:v>Anatolia Textiles</x:v>
      </x:c>
      <x:c r="E42" s="74" t="str">
        <x:v>Gradient Boosting</x:v>
      </x:c>
      <x:c r="F42" s="80" t="n">
        <x:v>0.167087</x:v>
      </x:c>
      <x:c r="G42" s="80" t="n">
        <x:v>0.95</x:v>
      </x:c>
      <x:c r="H42" s="74" t="n">
        <x:v>10</x:v>
      </x:c>
      <x:c r="I42" s="74" t="n">
        <x:v>39.28</x:v>
      </x:c>
      <x:c r="J42" s="74" t="n">
        <x:v>2042.536</x:v>
      </x:c>
      <x:c r="K42" s="74" t="n">
        <x:v>28</x:v>
      </x:c>
      <x:c r="L42" s="74" t="n">
        <x:v>246</x:v>
      </x:c>
      <x:c r="M42" s="74" t="n">
        <x:v>274</x:v>
      </x:c>
      <x:c r="N42" s="74" t="n">
        <x:v>6.976</x:v>
      </x:c>
      <x:c r="O42" s="74" t="n">
        <x:v>18.93</x:v>
      </x:c>
      <x:c r="P42" s="74" t="n">
        <x:v>75.044</x:v>
      </x:c>
      <x:c r="Q42" s="74" t="n">
        <x:v>118.739</x:v>
      </x:c>
      <x:c r="R42" s="74" t="n">
        <x:v>0</x:v>
      </x:c>
      <x:c r="S42" s="79" t="n">
        <x:v>0</x:v>
      </x:c>
      <x:c r="T42" s="79" t="n">
        <x:v>7872125.6</x:v>
      </x:c>
      <x:c r="U42" s="74" t="str">
        <x:v>HEALTHY</x:v>
      </x:c>
    </x:row>
    <x:row r="43" ht="15" hidden="0" customHeight="1">
      <x:c r="A43" s="74" t="str">
        <x:v>TOP-001</x:v>
      </x:c>
      <x:c r="B43" s="74" t="str">
        <x:v>Silk Top</x:v>
      </x:c>
      <x:c r="C43" s="74" t="str">
        <x:v>Tops</x:v>
      </x:c>
      <x:c r="D43" s="74" t="str">
        <x:v>Marmara Apparel</x:v>
      </x:c>
      <x:c r="E43" s="74" t="str">
        <x:v>Gradient Boosting</x:v>
      </x:c>
      <x:c r="F43" s="80" t="n">
        <x:v>0.099444</x:v>
      </x:c>
      <x:c r="G43" s="80" t="n">
        <x:v>0.95</x:v>
      </x:c>
      <x:c r="H43" s="74" t="n">
        <x:v>18</x:v>
      </x:c>
      <x:c r="I43" s="74" t="n">
        <x:v>86.328</x:v>
      </x:c>
      <x:c r="J43" s="74" t="n">
        <x:v>4489.08</x:v>
      </x:c>
      <x:c r="K43" s="74" t="n">
        <x:v>177</x:v>
      </x:c>
      <x:c r="L43" s="74" t="n">
        <x:v>520</x:v>
      </x:c>
      <x:c r="M43" s="74" t="n">
        <x:v>697</x:v>
      </x:c>
      <x:c r="N43" s="74" t="n">
        <x:v>8.074</x:v>
      </x:c>
      <x:c r="O43" s="74" t="n">
        <x:v>28.8</x:v>
      </x:c>
      <x:c r="P43" s="74" t="n">
        <x:v>250.788</x:v>
      </x:c>
      <x:c r="Q43" s="74" t="n">
        <x:v>394.374</x:v>
      </x:c>
      <x:c r="R43" s="74" t="n">
        <x:v>0</x:v>
      </x:c>
      <x:c r="S43" s="79" t="n">
        <x:v>0</x:v>
      </x:c>
      <x:c r="T43" s="79" t="n">
        <x:v>4934378.23</x:v>
      </x:c>
      <x:c r="U43" s="74" t="str">
        <x:v>HEALTHY</x:v>
      </x:c>
    </x:row>
    <x:row r="44" ht="15" hidden="0" customHeight="1">
      <x:c r="A44" s="74" t="str">
        <x:v>TOP-007</x:v>
      </x:c>
      <x:c r="B44" s="74" t="str">
        <x:v>Essential Top</x:v>
      </x:c>
      <x:c r="C44" s="74" t="str">
        <x:v>Tops</x:v>
      </x:c>
      <x:c r="D44" s="74" t="str">
        <x:v>Mediterranean Fashion Supply</x:v>
      </x:c>
      <x:c r="E44" s="74" t="str">
        <x:v>Gradient Boosting</x:v>
      </x:c>
      <x:c r="F44" s="80" t="n">
        <x:v>0.148013</x:v>
      </x:c>
      <x:c r="G44" s="80" t="n">
        <x:v>0.97</x:v>
      </x:c>
      <x:c r="H44" s="74" t="n">
        <x:v>7</x:v>
      </x:c>
      <x:c r="I44" s="74" t="n">
        <x:v>108.091</x:v>
      </x:c>
      <x:c r="J44" s="74" t="n">
        <x:v>5620.721</x:v>
      </x:c>
      <x:c r="K44" s="74" t="n">
        <x:v>0</x:v>
      </x:c>
      <x:c r="L44" s="74" t="n">
        <x:v>666</x:v>
      </x:c>
      <x:c r="M44" s="74" t="n">
        <x:v>666</x:v>
      </x:c>
      <x:c r="N44" s="74" t="n">
        <x:v>6.161</x:v>
      </x:c>
      <x:c r="O44" s="74" t="n">
        <x:v>33.753</x:v>
      </x:c>
      <x:c r="P44" s="74" t="n">
        <x:v>141.844</x:v>
      </x:c>
      <x:c r="Q44" s="74" t="n">
        <x:v>754.454</x:v>
      </x:c>
      <x:c r="R44" s="74" t="n">
        <x:v>0</x:v>
      </x:c>
      <x:c r="S44" s="79" t="n">
        <x:v>0</x:v>
      </x:c>
      <x:c r="T44" s="79" t="n">
        <x:v>3652632.58</x:v>
      </x:c>
      <x:c r="U44" s="74" t="str">
        <x:v>HEALTHY</x:v>
      </x:c>
    </x:row>
    <x:row r="45" ht="15" hidden="0" customHeight="1">
      <x:c r="A45" s="74" t="str">
        <x:v>BOT-001</x:v>
      </x:c>
      <x:c r="B45" s="74" t="str">
        <x:v>Tailored Bottom</x:v>
      </x:c>
      <x:c r="C45" s="74" t="str">
        <x:v>Bottoms</x:v>
      </x:c>
      <x:c r="D45" s="74" t="str">
        <x:v>Bosporus Accessories</x:v>
      </x:c>
      <x:c r="E45" s="74" t="str">
        <x:v>Gradient Boosting</x:v>
      </x:c>
      <x:c r="F45" s="80" t="n">
        <x:v>0.103302</x:v>
      </x:c>
      <x:c r="G45" s="80" t="n">
        <x:v>0.97</x:v>
      </x:c>
      <x:c r="H45" s="74" t="n">
        <x:v>7</x:v>
      </x:c>
      <x:c r="I45" s="74" t="n">
        <x:v>79.517</x:v>
      </x:c>
      <x:c r="J45" s="74" t="n">
        <x:v>4134.861</x:v>
      </x:c>
      <x:c r="K45" s="74" t="n">
        <x:v>0</x:v>
      </x:c>
      <x:c r="L45" s="74" t="n">
        <x:v>468</x:v>
      </x:c>
      <x:c r="M45" s="74" t="n">
        <x:v>468</x:v>
      </x:c>
      <x:c r="N45" s="74" t="n">
        <x:v>5.886</x:v>
      </x:c>
      <x:c r="O45" s="74" t="n">
        <x:v>22.357</x:v>
      </x:c>
      <x:c r="P45" s="74" t="n">
        <x:v>101.874</x:v>
      </x:c>
      <x:c r="Q45" s="74" t="n">
        <x:v>346.22</x:v>
      </x:c>
      <x:c r="R45" s="74" t="n">
        <x:v>0</x:v>
      </x:c>
      <x:c r="S45" s="79" t="n">
        <x:v>0</x:v>
      </x:c>
      <x:c r="T45" s="79" t="n">
        <x:v>7030838.29</x:v>
      </x:c>
      <x:c r="U45" s="74" t="str">
        <x:v>HEALTHY</x:v>
      </x:c>
    </x:row>
    <x:row r="46" ht="15" hidden="0" customHeight="1">
      <x:c r="A46" s="74" t="str">
        <x:v>BOT-003</x:v>
      </x:c>
      <x:c r="B46" s="74" t="str">
        <x:v>Straight Bottom</x:v>
      </x:c>
      <x:c r="C46" s="74" t="str">
        <x:v>Bottoms</x:v>
      </x:c>
      <x:c r="D46" s="74" t="str">
        <x:v>Thrace Manufacturing</x:v>
      </x:c>
      <x:c r="E46" s="74" t="str">
        <x:v>Gradient Boosting</x:v>
      </x:c>
      <x:c r="F46" s="80" t="n">
        <x:v>0.151531</x:v>
      </x:c>
      <x:c r="G46" s="80" t="n">
        <x:v>0.97</x:v>
      </x:c>
      <x:c r="H46" s="74" t="n">
        <x:v>21</x:v>
      </x:c>
      <x:c r="I46" s="74" t="n">
        <x:v>82.228</x:v>
      </x:c>
      <x:c r="J46" s="74" t="n">
        <x:v>4275.864</x:v>
      </x:c>
      <x:c r="K46" s="74" t="n">
        <x:v>130</x:v>
      </x:c>
      <x:c r="L46" s="74" t="n">
        <x:v>540</x:v>
      </x:c>
      <x:c r="M46" s="74" t="n">
        <x:v>670</x:v>
      </x:c>
      <x:c r="N46" s="74" t="n">
        <x:v>8.148</x:v>
      </x:c>
      <x:c r="O46" s="74" t="n">
        <x:v>46.933</x:v>
      </x:c>
      <x:c r="P46" s="74" t="n">
        <x:v>293.617</x:v>
      </x:c>
      <x:c r="Q46" s="74" t="n">
        <x:v>413.759</x:v>
      </x:c>
      <x:c r="R46" s="74" t="n">
        <x:v>0</x:v>
      </x:c>
      <x:c r="S46" s="79" t="n">
        <x:v>0</x:v>
      </x:c>
      <x:c r="T46" s="79" t="n">
        <x:v>5477292.43</x:v>
      </x:c>
      <x:c r="U46" s="74" t="str">
        <x:v>HEALTHY</x:v>
      </x:c>
    </x:row>
    <x:row r="47" ht="15" hidden="0" customHeight="1">
      <x:c r="A47" s="74" t="str">
        <x:v>BOT-005</x:v>
      </x:c>
      <x:c r="B47" s="74" t="str">
        <x:v>Pleated Bottom</x:v>
      </x:c>
      <x:c r="C47" s="74" t="str">
        <x:v>Bottoms</x:v>
      </x:c>
      <x:c r="D47" s="74" t="str">
        <x:v>Mediterranean Fashion Supply</x:v>
      </x:c>
      <x:c r="E47" s="74" t="str">
        <x:v>Seasonal Naive</x:v>
      </x:c>
      <x:c r="F47" s="80" t="n">
        <x:v>0.167832</x:v>
      </x:c>
      <x:c r="G47" s="80" t="n">
        <x:v>0.98</x:v>
      </x:c>
      <x:c r="H47" s="74" t="n">
        <x:v>7</x:v>
      </x:c>
      <x:c r="I47" s="74" t="n">
        <x:v>78.846</x:v>
      </x:c>
      <x:c r="J47" s="74" t="n">
        <x:v>4100</x:v>
      </x:c>
      <x:c r="K47" s="74" t="n">
        <x:v>0</x:v>
      </x:c>
      <x:c r="L47" s="74" t="n">
        <x:v>510</x:v>
      </x:c>
      <x:c r="M47" s="74" t="n">
        <x:v>510</x:v>
      </x:c>
      <x:c r="N47" s="74" t="n">
        <x:v>6.468</x:v>
      </x:c>
      <x:c r="O47" s="74" t="n">
        <x:v>43.17</x:v>
      </x:c>
      <x:c r="P47" s="74" t="n">
        <x:v>122.016</x:v>
      </x:c>
      <x:c r="Q47" s="74" t="n">
        <x:v>392.752</x:v>
      </x:c>
      <x:c r="R47" s="74" t="n">
        <x:v>0</x:v>
      </x:c>
      <x:c r="S47" s="79" t="n">
        <x:v>0</x:v>
      </x:c>
      <x:c r="T47" s="79" t="n">
        <x:v>6349332</x:v>
      </x:c>
      <x:c r="U47" s="74" t="str">
        <x:v>HEALTHY</x:v>
      </x:c>
    </x:row>
    <x:row r="48" ht="15" hidden="0" customHeight="1">
      <x:c r="A48" s="74" t="str">
        <x:v>BOT-008</x:v>
      </x:c>
      <x:c r="B48" s="74" t="str">
        <x:v>Relaxed Bottom</x:v>
      </x:c>
      <x:c r="C48" s="74" t="str">
        <x:v>Bottoms</x:v>
      </x:c>
      <x:c r="D48" s="74" t="str">
        <x:v>Aegean Atelier</x:v>
      </x:c>
      <x:c r="E48" s="74" t="str">
        <x:v>Gradient Boosting</x:v>
      </x:c>
      <x:c r="F48" s="80" t="n">
        <x:v>0.169255</x:v>
      </x:c>
      <x:c r="G48" s="80" t="n">
        <x:v>0.98</x:v>
      </x:c>
      <x:c r="H48" s="74" t="n">
        <x:v>14</x:v>
      </x:c>
      <x:c r="I48" s="74" t="n">
        <x:v>69.106</x:v>
      </x:c>
      <x:c r="J48" s="74" t="n">
        <x:v>3593.527</x:v>
      </x:c>
      <x:c r="K48" s="74" t="n">
        <x:v>78</x:v>
      </x:c>
      <x:c r="L48" s="74" t="n">
        <x:v>380</x:v>
      </x:c>
      <x:c r="M48" s="74" t="n">
        <x:v>458</x:v>
      </x:c>
      <x:c r="N48" s="74" t="n">
        <x:v>6.627</x:v>
      </x:c>
      <x:c r="O48" s="74" t="n">
        <x:v>40.5</x:v>
      </x:c>
      <x:c r="P48" s="74" t="n">
        <x:v>178.712</x:v>
      </x:c>
      <x:c r="Q48" s="74" t="n">
        <x:v>329.847</x:v>
      </x:c>
      <x:c r="R48" s="74" t="n">
        <x:v>0</x:v>
      </x:c>
      <x:c r="S48" s="79" t="n">
        <x:v>0</x:v>
      </x:c>
      <x:c r="T48" s="79" t="n">
        <x:v>6529073.04</x:v>
      </x:c>
      <x:c r="U48" s="74" t="str">
        <x:v>HEALTHY</x:v>
      </x:c>
    </x:row>
    <x:row r="49" ht="15" hidden="0" customHeight="1">
      <x:c r="A49" s="74" t="str">
        <x:v>ACC-003</x:v>
      </x:c>
      <x:c r="B49" s="74" t="str">
        <x:v>Chain Accessorie</x:v>
      </x:c>
      <x:c r="C49" s="74" t="str">
        <x:v>Accessories</x:v>
      </x:c>
      <x:c r="D49" s="74" t="str">
        <x:v>Mediterranean Fashion Supply</x:v>
      </x:c>
      <x:c r="E49" s="74" t="str">
        <x:v>Gradient Boosting</x:v>
      </x:c>
      <x:c r="F49" s="80" t="n">
        <x:v>0.096063</x:v>
      </x:c>
      <x:c r="G49" s="80" t="n">
        <x:v>0.98</x:v>
      </x:c>
      <x:c r="H49" s="74" t="n">
        <x:v>7</x:v>
      </x:c>
      <x:c r="I49" s="74" t="n">
        <x:v>90.493</x:v>
      </x:c>
      <x:c r="J49" s="74" t="n">
        <x:v>4705.626</x:v>
      </x:c>
      <x:c r="K49" s="74" t="n">
        <x:v>0</x:v>
      </x:c>
      <x:c r="L49" s="74" t="n">
        <x:v>496</x:v>
      </x:c>
      <x:c r="M49" s="74" t="n">
        <x:v>496</x:v>
      </x:c>
      <x:c r="N49" s="74" t="n">
        <x:v>5.481</x:v>
      </x:c>
      <x:c r="O49" s="74" t="n">
        <x:v>31.328</x:v>
      </x:c>
      <x:c r="P49" s="74" t="n">
        <x:v>121.821</x:v>
      </x:c>
      <x:c r="Q49" s="74" t="n">
        <x:v>505.356</x:v>
      </x:c>
      <x:c r="R49" s="74" t="n">
        <x:v>0</x:v>
      </x:c>
      <x:c r="S49" s="79" t="n">
        <x:v>0</x:v>
      </x:c>
      <x:c r="T49" s="79" t="n">
        <x:v>6265566.06</x:v>
      </x:c>
      <x:c r="U49" s="74" t="str">
        <x:v>HEALTHY</x:v>
      </x:c>
    </x:row>
    <x:row r="50" ht="15" hidden="0" customHeight="1">
      <x:c r="A50" s="74" t="str">
        <x:v>ACC-007</x:v>
      </x:c>
      <x:c r="B50" s="74" t="str">
        <x:v>Everyday Accessorie</x:v>
      </x:c>
      <x:c r="C50" s="74" t="str">
        <x:v>Accessories</x:v>
      </x:c>
      <x:c r="D50" s="74" t="str">
        <x:v>Bosporus Accessories</x:v>
      </x:c>
      <x:c r="E50" s="74" t="str">
        <x:v>Gradient Boosting</x:v>
      </x:c>
      <x:c r="F50" s="80" t="n">
        <x:v>0.132096</x:v>
      </x:c>
      <x:c r="G50" s="80" t="n">
        <x:v>0.97</x:v>
      </x:c>
      <x:c r="H50" s="74" t="n">
        <x:v>7</x:v>
      </x:c>
      <x:c r="I50" s="74" t="n">
        <x:v>90.812</x:v>
      </x:c>
      <x:c r="J50" s="74" t="n">
        <x:v>4722.238</x:v>
      </x:c>
      <x:c r="K50" s="74" t="n">
        <x:v>4</x:v>
      </x:c>
      <x:c r="L50" s="74" t="n">
        <x:v>528</x:v>
      </x:c>
      <x:c r="M50" s="74" t="n">
        <x:v>532</x:v>
      </x:c>
      <x:c r="N50" s="74" t="n">
        <x:v>5.858</x:v>
      </x:c>
      <x:c r="O50" s="74" t="n">
        <x:v>34.522</x:v>
      </x:c>
      <x:c r="P50" s="74" t="n">
        <x:v>125.334</x:v>
      </x:c>
      <x:c r="Q50" s="74" t="n">
        <x:v>519.189</x:v>
      </x:c>
      <x:c r="R50" s="74" t="n">
        <x:v>0</x:v>
      </x:c>
      <x:c r="S50" s="79" t="n">
        <x:v>0</x:v>
      </x:c>
      <x:c r="T50" s="79" t="n">
        <x:v>5855306.34</x:v>
      </x:c>
      <x:c r="U50" s="74" t="str">
        <x:v>HEALTHY</x:v>
      </x:c>
    </x:row>
    <x:row r="51" ht="15" hidden="0" customHeight="1">
      <x:c r="A51" s="74" t="str">
        <x:v>BOT-006</x:v>
      </x:c>
      <x:c r="B51" s="74" t="str">
        <x:v>Cargo Bottom</x:v>
      </x:c>
      <x:c r="C51" s="74" t="str">
        <x:v>Bottoms</x:v>
      </x:c>
      <x:c r="D51" s="74" t="str">
        <x:v>Anatolia Textiles</x:v>
      </x:c>
      <x:c r="E51" s="74" t="str">
        <x:v>Gradient Boosting</x:v>
      </x:c>
      <x:c r="F51" s="80" t="n">
        <x:v>0.149196</x:v>
      </x:c>
      <x:c r="G51" s="80" t="n">
        <x:v>0.93</x:v>
      </x:c>
      <x:c r="H51" s="74" t="n">
        <x:v>10</x:v>
      </x:c>
      <x:c r="I51" s="74" t="n">
        <x:v>87.687</x:v>
      </x:c>
      <x:c r="J51" s="74" t="n">
        <x:v>4559.74</x:v>
      </x:c>
      <x:c r="K51" s="74" t="n">
        <x:v>169</x:v>
      </x:c>
      <x:c r="L51" s="74" t="n">
        <x:v>0</x:v>
      </x:c>
      <x:c r="M51" s="74" t="n">
        <x:v>169</x:v>
      </x:c>
      <x:c r="N51" s="74" t="n">
        <x:v>1.927</x:v>
      </x:c>
      <x:c r="O51" s="74" t="n">
        <x:v>34.377</x:v>
      </x:c>
      <x:c r="P51" s="74" t="n">
        <x:v>159.644</x:v>
      </x:c>
      <x:c r="Q51" s="74" t="n">
        <x:v>265.126</x:v>
      </x:c>
      <x:c r="R51" s="74" t="n">
        <x:v>344</x:v>
      </x:c>
      <x:c r="S51" s="79" t="n">
        <x:v>259967.68</x:v>
      </x:c>
      <x:c r="T51" s="79" t="n">
        <x:v>7912316.62</x:v>
      </x:c>
      <x:c r="U51" s="74" t="str">
        <x:v>MONITOR</x:v>
      </x:c>
    </x:row>
    <x:row r="52" ht="15" hidden="0" customHeight="1">
      <x:c r="A52" s="74" t="str">
        <x:v>OUT-008</x:v>
      </x:c>
      <x:c r="B52" s="74" t="str">
        <x:v>Classic Outerwear</x:v>
      </x:c>
      <x:c r="C52" s="74" t="str">
        <x:v>Outerwear</x:v>
      </x:c>
      <x:c r="D52" s="74" t="str">
        <x:v>Istanbul Leather</x:v>
      </x:c>
      <x:c r="E52" s="74" t="str">
        <x:v>Gradient Boosting</x:v>
      </x:c>
      <x:c r="F52" s="80" t="n">
        <x:v>0.217567</x:v>
      </x:c>
      <x:c r="G52" s="80" t="n">
        <x:v>0.95</x:v>
      </x:c>
      <x:c r="H52" s="74" t="n">
        <x:v>28</x:v>
      </x:c>
      <x:c r="I52" s="74" t="n">
        <x:v>32.77</x:v>
      </x:c>
      <x:c r="J52" s="74" t="n">
        <x:v>1704.016</x:v>
      </x:c>
      <x:c r="K52" s="74" t="n">
        <x:v>189</x:v>
      </x:c>
      <x:c r="L52" s="74" t="n">
        <x:v>0</x:v>
      </x:c>
      <x:c r="M52" s="74" t="n">
        <x:v>189</x:v>
      </x:c>
      <x:c r="N52" s="74" t="n">
        <x:v>5.768</x:v>
      </x:c>
      <x:c r="O52" s="74" t="n">
        <x:v>38.651</x:v>
      </x:c>
      <x:c r="P52" s="74" t="n">
        <x:v>169.729</x:v>
      </x:c>
      <x:c r="Q52" s="74" t="n">
        <x:v>140.392</x:v>
      </x:c>
      <x:c r="R52" s="74" t="n">
        <x:v>114</x:v>
      </x:c>
      <x:c r="S52" s="79" t="n">
        <x:v>152846.64</x:v>
      </x:c>
      <x:c r="T52" s="79" t="n">
        <x:v>4818958.09</x:v>
      </x:c>
      <x:c r="U52" s="74" t="str">
        <x:v>MONITOR</x:v>
      </x:c>
    </x:row>
    <x:row r="53" ht="15" hidden="0" customHeight="1">
      <x:c r="A53" s="74" t="str">
        <x:v>KNI-001</x:v>
      </x:c>
      <x:c r="B53" s="74" t="str">
        <x:v>Merino Knitwear</x:v>
      </x:c>
      <x:c r="C53" s="74" t="str">
        <x:v>Knitwear</x:v>
      </x:c>
      <x:c r="D53" s="74" t="str">
        <x:v>Thrace Manufacturing</x:v>
      </x:c>
      <x:c r="E53" s="74" t="str">
        <x:v>Gradient Boosting</x:v>
      </x:c>
      <x:c r="F53" s="80" t="n">
        <x:v>0.160181</x:v>
      </x:c>
      <x:c r="G53" s="80" t="n">
        <x:v>0.93</x:v>
      </x:c>
      <x:c r="H53" s="74" t="n">
        <x:v>21</x:v>
      </x:c>
      <x:c r="I53" s="74" t="n">
        <x:v>86.035</x:v>
      </x:c>
      <x:c r="J53" s="74" t="n">
        <x:v>4473.807</x:v>
      </x:c>
      <x:c r="K53" s="74" t="n">
        <x:v>367</x:v>
      </x:c>
      <x:c r="L53" s="74" t="n">
        <x:v>0</x:v>
      </x:c>
      <x:c r="M53" s="74" t="n">
        <x:v>367</x:v>
      </x:c>
      <x:c r="N53" s="74" t="n">
        <x:v>4.266</x:v>
      </x:c>
      <x:c r="O53" s="74" t="n">
        <x:v>55.655</x:v>
      </x:c>
      <x:c r="P53" s="74" t="n">
        <x:v>313.759</x:v>
      </x:c>
      <x:c r="Q53" s="74" t="n">
        <x:v>470.988</x:v>
      </x:c>
      <x:c r="R53" s="74" t="n">
        <x:v>296</x:v>
      </x:c>
      <x:c r="S53" s="79" t="n">
        <x:v>125711.2</x:v>
      </x:c>
      <x:c r="T53" s="79" t="n">
        <x:v>4469014.79</x:v>
      </x:c>
      <x:c r="U53" s="74" t="str">
        <x:v>MONITOR</x:v>
      </x:c>
    </x:row>
    <x:row r="54" ht="15" hidden="0" customHeight="1">
      <x:c r="A54" s="74" t="str">
        <x:v>KNI-006</x:v>
      </x:c>
      <x:c r="B54" s="74" t="str">
        <x:v>Cardigan Knitwear</x:v>
      </x:c>
      <x:c r="C54" s="74" t="str">
        <x:v>Knitwear</x:v>
      </x:c>
      <x:c r="D54" s="74" t="str">
        <x:v>Aegean Atelier</x:v>
      </x:c>
      <x:c r="E54" s="74" t="str">
        <x:v>Gradient Boosting</x:v>
      </x:c>
      <x:c r="F54" s="80" t="n">
        <x:v>0.157678</x:v>
      </x:c>
      <x:c r="G54" s="80" t="n">
        <x:v>0.95</x:v>
      </x:c>
      <x:c r="H54" s="74" t="n">
        <x:v>14</x:v>
      </x:c>
      <x:c r="I54" s="74" t="n">
        <x:v>57.869</x:v>
      </x:c>
      <x:c r="J54" s="74" t="n">
        <x:v>3009.198</x:v>
      </x:c>
      <x:c r="K54" s="74" t="n">
        <x:v>166</x:v>
      </x:c>
      <x:c r="L54" s="74" t="n">
        <x:v>0</x:v>
      </x:c>
      <x:c r="M54" s="74" t="n">
        <x:v>166</x:v>
      </x:c>
      <x:c r="N54" s="74" t="n">
        <x:v>2.869</x:v>
      </x:c>
      <x:c r="O54" s="74" t="n">
        <x:v>32.515</x:v>
      </x:c>
      <x:c r="P54" s="74" t="n">
        <x:v>148.254</x:v>
      </x:c>
      <x:c r="Q54" s="74" t="n">
        <x:v>399.175</x:v>
      </x:c>
      <x:c r="R54" s="74" t="n">
        <x:v>220</x:v>
      </x:c>
      <x:c r="S54" s="79" t="n">
        <x:v>101791.8</x:v>
      </x:c>
      <x:c r="T54" s="79" t="n">
        <x:v>3195227.7</x:v>
      </x:c>
      <x:c r="U54" s="74" t="str">
        <x:v>MONITOR</x:v>
      </x:c>
    </x:row>
    <x:row r="55" ht="15" hidden="0" customHeight="1">
      <x:c r="A55" s="74" t="str">
        <x:v>ACC-010</x:v>
      </x:c>
      <x:c r="B55" s="74" t="str">
        <x:v>Luxe Accessorie</x:v>
      </x:c>
      <x:c r="C55" s="74" t="str">
        <x:v>Accessories</x:v>
      </x:c>
      <x:c r="D55" s="74" t="str">
        <x:v>Istanbul Leather</x:v>
      </x:c>
      <x:c r="E55" s="74" t="str">
        <x:v>Gradient Boosting</x:v>
      </x:c>
      <x:c r="F55" s="80" t="n">
        <x:v>0.151957</x:v>
      </x:c>
      <x:c r="G55" s="80" t="n">
        <x:v>0.95</x:v>
      </x:c>
      <x:c r="H55" s="74" t="n">
        <x:v>28</x:v>
      </x:c>
      <x:c r="I55" s="74" t="n">
        <x:v>88.392</x:v>
      </x:c>
      <x:c r="J55" s="74" t="n">
        <x:v>4596.377</x:v>
      </x:c>
      <x:c r="K55" s="74" t="n">
        <x:v>519</x:v>
      </x:c>
      <x:c r="L55" s="74" t="n">
        <x:v>0</x:v>
      </x:c>
      <x:c r="M55" s="74" t="n">
        <x:v>519</x:v>
      </x:c>
      <x:c r="N55" s="74" t="n">
        <x:v>5.872</x:v>
      </x:c>
      <x:c r="O55" s="74" t="n">
        <x:v>80.907</x:v>
      </x:c>
      <x:c r="P55" s="74" t="n">
        <x:v>434.475</x:v>
      </x:c>
      <x:c r="Q55" s="74" t="n">
        <x:v>458.92</x:v>
      </x:c>
      <x:c r="R55" s="74" t="n">
        <x:v>272</x:v>
      </x:c>
      <x:c r="S55" s="79" t="n">
        <x:v>92061.12</x:v>
      </x:c>
      <x:c r="T55" s="79" t="n">
        <x:v>4421889.37</x:v>
      </x:c>
      <x:c r="U55" s="74" t="str">
        <x:v>MONITOR</x:v>
      </x:c>
    </x:row>
    <x:row r="56" ht="15" hidden="0" customHeight="1">
      <x:c r="A56" s="74" t="str">
        <x:v>DRE-003</x:v>
      </x:c>
      <x:c r="B56" s="74" t="str">
        <x:v>Wrap Dresse</x:v>
      </x:c>
      <x:c r="C56" s="74" t="str">
        <x:v>Dresses</x:v>
      </x:c>
      <x:c r="D56" s="74" t="str">
        <x:v>Thrace Manufacturing</x:v>
      </x:c>
      <x:c r="E56" s="74" t="str">
        <x:v>Gradient Boosting</x:v>
      </x:c>
      <x:c r="F56" s="80" t="n">
        <x:v>0.141512</x:v>
      </x:c>
      <x:c r="G56" s="80" t="n">
        <x:v>0.97</x:v>
      </x:c>
      <x:c r="H56" s="74" t="n">
        <x:v>21</x:v>
      </x:c>
      <x:c r="I56" s="74" t="n">
        <x:v>80.478</x:v>
      </x:c>
      <x:c r="J56" s="74" t="n">
        <x:v>4184.874</x:v>
      </x:c>
      <x:c r="K56" s="74" t="n">
        <x:v>182</x:v>
      </x:c>
      <x:c r="L56" s="74" t="n">
        <x:v>0</x:v>
      </x:c>
      <x:c r="M56" s="74" t="n">
        <x:v>182</x:v>
      </x:c>
      <x:c r="N56" s="74" t="n">
        <x:v>2.261</x:v>
      </x:c>
      <x:c r="O56" s="74" t="n">
        <x:v>39.691</x:v>
      </x:c>
      <x:c r="P56" s="74" t="n">
        <x:v>281.126</x:v>
      </x:c>
      <x:c r="Q56" s="74" t="n">
        <x:v>298.781</x:v>
      </x:c>
      <x:c r="R56" s="74" t="n">
        <x:v>424</x:v>
      </x:c>
      <x:c r="S56" s="79" t="n">
        <x:v>418568.56</x:v>
      </x:c>
      <x:c r="T56" s="79" t="n">
        <x:v>9707435.88</x:v>
      </x:c>
      <x:c r="U56" s="74" t="str">
        <x:v>ORDER NOW</x:v>
      </x:c>
    </x:row>
    <x:row r="57" ht="15" hidden="0" customHeight="1">
      <x:c r="A57" s="74" t="str">
        <x:v>DRE-002</x:v>
      </x:c>
      <x:c r="B57" s="74" t="str">
        <x:v>Midi Dresse</x:v>
      </x:c>
      <x:c r="C57" s="74" t="str">
        <x:v>Dresses</x:v>
      </x:c>
      <x:c r="D57" s="74" t="str">
        <x:v>Central Knitworks</x:v>
      </x:c>
      <x:c r="E57" s="74" t="str">
        <x:v>Seasonal Naive</x:v>
      </x:c>
      <x:c r="F57" s="80" t="n">
        <x:v>0.167027</x:v>
      </x:c>
      <x:c r="G57" s="80" t="n">
        <x:v>0.97</x:v>
      </x:c>
      <x:c r="H57" s="74" t="n">
        <x:v>35</x:v>
      </x:c>
      <x:c r="I57" s="74" t="n">
        <x:v>75.519</x:v>
      </x:c>
      <x:c r="J57" s="74" t="n">
        <x:v>3926.98</x:v>
      </x:c>
      <x:c r="K57" s="74" t="n">
        <x:v>407</x:v>
      </x:c>
      <x:c r="L57" s="74" t="n">
        <x:v>0</x:v>
      </x:c>
      <x:c r="M57" s="74" t="n">
        <x:v>407</x:v>
      </x:c>
      <x:c r="N57" s="74" t="n">
        <x:v>5.389</x:v>
      </x:c>
      <x:c r="O57" s="74" t="n">
        <x:v>56.96</x:v>
      </x:c>
      <x:c r="P57" s="74" t="n">
        <x:v>434.555</x:v>
      </x:c>
      <x:c r="Q57" s="74" t="n">
        <x:v>185.857</x:v>
      </x:c>
      <x:c r="R57" s="74" t="n">
        <x:v>336</x:v>
      </x:c>
      <x:c r="S57" s="79" t="n">
        <x:v>417950.4</x:v>
      </x:c>
      <x:c r="T57" s="79" t="n">
        <x:v>11728583.68</x:v>
      </x:c>
      <x:c r="U57" s="74" t="str">
        <x:v>ORDER NOW</x:v>
      </x:c>
    </x:row>
    <x:row r="58" ht="15" hidden="0" customHeight="1">
      <x:c r="A58" s="74" t="str">
        <x:v>DRE-008</x:v>
      </x:c>
      <x:c r="B58" s="74" t="str">
        <x:v>Minimal Dresse</x:v>
      </x:c>
      <x:c r="C58" s="74" t="str">
        <x:v>Dresses</x:v>
      </x:c>
      <x:c r="D58" s="74" t="str">
        <x:v>Aegean Atelier</x:v>
      </x:c>
      <x:c r="E58" s="74" t="str">
        <x:v>Gradient Boosting</x:v>
      </x:c>
      <x:c r="F58" s="80" t="n">
        <x:v>0.160447</x:v>
      </x:c>
      <x:c r="G58" s="80" t="n">
        <x:v>0.95</x:v>
      </x:c>
      <x:c r="H58" s="74" t="n">
        <x:v>14</x:v>
      </x:c>
      <x:c r="I58" s="74" t="n">
        <x:v>76.409</x:v>
      </x:c>
      <x:c r="J58" s="74" t="n">
        <x:v>3973.253</x:v>
      </x:c>
      <x:c r="K58" s="74" t="n">
        <x:v>127</x:v>
      </x:c>
      <x:c r="L58" s="74" t="n">
        <x:v>0</x:v>
      </x:c>
      <x:c r="M58" s="74" t="n">
        <x:v>127</x:v>
      </x:c>
      <x:c r="N58" s="74" t="n">
        <x:v>1.662</x:v>
      </x:c>
      <x:c r="O58" s="74" t="n">
        <x:v>28.596</x:v>
      </x:c>
      <x:c r="P58" s="74" t="n">
        <x:v>181.413</x:v>
      </x:c>
      <x:c r="Q58" s="74" t="n">
        <x:v>312.274</x:v>
      </x:c>
      <x:c r="R58" s="74" t="n">
        <x:v>370</x:v>
      </x:c>
      <x:c r="S58" s="79" t="n">
        <x:v>369352.5</x:v>
      </x:c>
      <x:c r="T58" s="79" t="n">
        <x:v>10893823.29</x:v>
      </x:c>
      <x:c r="U58" s="74" t="str">
        <x:v>ORDER NOW</x:v>
      </x:c>
    </x:row>
    <x:row r="59" ht="15" hidden="0" customHeight="1">
      <x:c r="A59" s="74" t="str">
        <x:v>BOT-004</x:v>
      </x:c>
      <x:c r="B59" s="74" t="str">
        <x:v>Satin Bottom</x:v>
      </x:c>
      <x:c r="C59" s="74" t="str">
        <x:v>Bottoms</x:v>
      </x:c>
      <x:c r="D59" s="74" t="str">
        <x:v>Istanbul Leather</x:v>
      </x:c>
      <x:c r="E59" s="74" t="str">
        <x:v>Gradient Boosting</x:v>
      </x:c>
      <x:c r="F59" s="80" t="n">
        <x:v>0.153544</x:v>
      </x:c>
      <x:c r="G59" s="80" t="n">
        <x:v>0.93</x:v>
      </x:c>
      <x:c r="H59" s="74" t="n">
        <x:v>28</x:v>
      </x:c>
      <x:c r="I59" s="74" t="n">
        <x:v>70.933</x:v>
      </x:c>
      <x:c r="J59" s="74" t="n">
        <x:v>3688.511</x:v>
      </x:c>
      <x:c r="K59" s="74" t="n">
        <x:v>266</x:v>
      </x:c>
      <x:c r="L59" s="74" t="n">
        <x:v>0</x:v>
      </x:c>
      <x:c r="M59" s="74" t="n">
        <x:v>266</x:v>
      </x:c>
      <x:c r="N59" s="74" t="n">
        <x:v>3.75</x:v>
      </x:c>
      <x:c r="O59" s="74" t="n">
        <x:v>33.819</x:v>
      </x:c>
      <x:c r="P59" s="74" t="n">
        <x:v>317.551</x:v>
      </x:c>
      <x:c r="Q59" s="74" t="n">
        <x:v>244.809</x:v>
      </x:c>
      <x:c r="R59" s="74" t="n">
        <x:v>336</x:v>
      </x:c>
      <x:c r="S59" s="79" t="n">
        <x:v>320701.92</x:v>
      </x:c>
      <x:c r="T59" s="79" t="n">
        <x:v>7886223.68</x:v>
      </x:c>
      <x:c r="U59" s="74" t="str">
        <x:v>ORDER NOW</x:v>
      </x:c>
    </x:row>
    <x:row r="60" ht="15" hidden="0" customHeight="1">
      <x:c r="A60" s="74" t="str">
        <x:v>OUT-009</x:v>
      </x:c>
      <x:c r="B60" s="74" t="str">
        <x:v>Urban Outerwear</x:v>
      </x:c>
      <x:c r="C60" s="74" t="str">
        <x:v>Outerwear</x:v>
      </x:c>
      <x:c r="D60" s="74" t="str">
        <x:v>Mediterranean Fashion Supply</x:v>
      </x:c>
      <x:c r="E60" s="74" t="str">
        <x:v>Gradient Boosting</x:v>
      </x:c>
      <x:c r="F60" s="80" t="n">
        <x:v>0.154593</x:v>
      </x:c>
      <x:c r="G60" s="80" t="n">
        <x:v>0.97</x:v>
      </x:c>
      <x:c r="H60" s="74" t="n">
        <x:v>7</x:v>
      </x:c>
      <x:c r="I60" s="74" t="n">
        <x:v>52.244</x:v>
      </x:c>
      <x:c r="J60" s="74" t="n">
        <x:v>2716.672</x:v>
      </x:c>
      <x:c r="K60" s="74" t="n">
        <x:v>52</x:v>
      </x:c>
      <x:c r="L60" s="74" t="n">
        <x:v>0</x:v>
      </x:c>
      <x:c r="M60" s="74" t="n">
        <x:v>52</x:v>
      </x:c>
      <x:c r="N60" s="74" t="n">
        <x:v>0.995</x:v>
      </x:c>
      <x:c r="O60" s="74" t="n">
        <x:v>19.957</x:v>
      </x:c>
      <x:c r="P60" s="74" t="n">
        <x:v>72.201</x:v>
      </x:c>
      <x:c r="Q60" s="74" t="n">
        <x:v>230.22</x:v>
      </x:c>
      <x:c r="R60" s="74" t="n">
        <x:v>232</x:v>
      </x:c>
      <x:c r="S60" s="79" t="n">
        <x:v>290846.8</x:v>
      </x:c>
      <x:c r="T60" s="79" t="n">
        <x:v>7433663.35</x:v>
      </x:c>
      <x:c r="U60" s="74" t="str">
        <x:v>ORDER NOW</x:v>
      </x:c>
    </x:row>
    <x:row r="61" ht="15" hidden="0" customHeight="1">
      <x:c r="A61" s="74" t="str">
        <x:v>TOP-005</x:v>
      </x:c>
      <x:c r="B61" s="74" t="str">
        <x:v>Bodysuit Top</x:v>
      </x:c>
      <x:c r="C61" s="74" t="str">
        <x:v>Tops</x:v>
      </x:c>
      <x:c r="D61" s="74" t="str">
        <x:v>Thrace Manufacturing</x:v>
      </x:c>
      <x:c r="E61" s="74" t="str">
        <x:v>Gradient Boosting</x:v>
      </x:c>
      <x:c r="F61" s="80" t="n">
        <x:v>0.194057</x:v>
      </x:c>
      <x:c r="G61" s="80" t="n">
        <x:v>0.95</x:v>
      </x:c>
      <x:c r="H61" s="74" t="n">
        <x:v>21</x:v>
      </x:c>
      <x:c r="I61" s="74" t="n">
        <x:v>94.235</x:v>
      </x:c>
      <x:c r="J61" s="74" t="n">
        <x:v>4900.235</x:v>
      </x:c>
      <x:c r="K61" s="74" t="n">
        <x:v>273</x:v>
      </x:c>
      <x:c r="L61" s="74" t="n">
        <x:v>0</x:v>
      </x:c>
      <x:c r="M61" s="74" t="n">
        <x:v>273</x:v>
      </x:c>
      <x:c r="N61" s="74" t="n">
        <x:v>2.897</x:v>
      </x:c>
      <x:c r="O61" s="74" t="n">
        <x:v>52.538</x:v>
      </x:c>
      <x:c r="P61" s="74" t="n">
        <x:v>335.244</x:v>
      </x:c>
      <x:c r="Q61" s="74" t="n">
        <x:v>439.835</x:v>
      </x:c>
      <x:c r="R61" s="74" t="n">
        <x:v>444</x:v>
      </x:c>
      <x:c r="S61" s="79" t="n">
        <x:v>236834.04</x:v>
      </x:c>
      <x:c r="T61" s="79" t="n">
        <x:v>6504122.1</x:v>
      </x:c>
      <x:c r="U61" s="74" t="str">
        <x:v>ORDER NOW</x:v>
      </x:c>
    </x:row>
    <x:row r="62" ht="15" hidden="0" customHeight="1">
      <x:c r="A62" s="74" t="str">
        <x:v>KNI-008</x:v>
      </x:c>
      <x:c r="B62" s="74" t="str">
        <x:v>Oversized Knitwear</x:v>
      </x:c>
      <x:c r="C62" s="74" t="str">
        <x:v>Knitwear</x:v>
      </x:c>
      <x:c r="D62" s="74" t="str">
        <x:v>Central Knitworks</x:v>
      </x:c>
      <x:c r="E62" s="74" t="str">
        <x:v>Gradient Boosting</x:v>
      </x:c>
      <x:c r="F62" s="80" t="n">
        <x:v>0.199365</x:v>
      </x:c>
      <x:c r="G62" s="80" t="n">
        <x:v>0.97</x:v>
      </x:c>
      <x:c r="H62" s="74" t="n">
        <x:v>35</x:v>
      </x:c>
      <x:c r="I62" s="74" t="n">
        <x:v>75.454</x:v>
      </x:c>
      <x:c r="J62" s="74" t="n">
        <x:v>3923.615</x:v>
      </x:c>
      <x:c r="K62" s="74" t="n">
        <x:v>349</x:v>
      </x:c>
      <x:c r="L62" s="74" t="n">
        <x:v>0</x:v>
      </x:c>
      <x:c r="M62" s="74" t="n">
        <x:v>349</x:v>
      </x:c>
      <x:c r="N62" s="74" t="n">
        <x:v>4.625</x:v>
      </x:c>
      <x:c r="O62" s="74" t="n">
        <x:v>112.205</x:v>
      </x:c>
      <x:c r="P62" s="74" t="n">
        <x:v>489.476</x:v>
      </x:c>
      <x:c r="Q62" s="74" t="n">
        <x:v>310.533</x:v>
      </x:c>
      <x:c r="R62" s="74" t="n">
        <x:v>444</x:v>
      </x:c>
      <x:c r="S62" s="79" t="n">
        <x:v>197668.8</x:v>
      </x:c>
      <x:c r="T62" s="79" t="n">
        <x:v>3946273.68</x:v>
      </x:c>
      <x:c r="U62" s="74" t="str">
        <x:v>ORDER NOW</x:v>
      </x:c>
    </x:row>
    <x:row r="63" ht="15" hidden="0" customHeight="1">
      <x:c r="A63" s="74" t="str">
        <x:v>KNI-009</x:v>
      </x:c>
      <x:c r="B63" s="74" t="str">
        <x:v>Crew Knitwear</x:v>
      </x:c>
      <x:c r="C63" s="74" t="str">
        <x:v>Knitwear</x:v>
      </x:c>
      <x:c r="D63" s="74" t="str">
        <x:v>Thrace Manufacturing</x:v>
      </x:c>
      <x:c r="E63" s="74" t="str">
        <x:v>Gradient Boosting</x:v>
      </x:c>
      <x:c r="F63" s="80" t="n">
        <x:v>0.152326</x:v>
      </x:c>
      <x:c r="G63" s="80" t="n">
        <x:v>0.95</x:v>
      </x:c>
      <x:c r="H63" s="74" t="n">
        <x:v>21</x:v>
      </x:c>
      <x:c r="I63" s="74" t="n">
        <x:v>73.8</x:v>
      </x:c>
      <x:c r="J63" s="74" t="n">
        <x:v>3837.625</x:v>
      </x:c>
      <x:c r="K63" s="74" t="n">
        <x:v>245</x:v>
      </x:c>
      <x:c r="L63" s="74" t="n">
        <x:v>0</x:v>
      </x:c>
      <x:c r="M63" s="74" t="n">
        <x:v>245</x:v>
      </x:c>
      <x:c r="N63" s="74" t="n">
        <x:v>3.32</x:v>
      </x:c>
      <x:c r="O63" s="74" t="n">
        <x:v>52.407</x:v>
      </x:c>
      <x:c r="P63" s="74" t="n">
        <x:v>273.808</x:v>
      </x:c>
      <x:c r="Q63" s="74" t="n">
        <x:v>426.727</x:v>
      </x:c>
      <x:c r="R63" s="74" t="n">
        <x:v>336</x:v>
      </x:c>
      <x:c r="S63" s="79" t="n">
        <x:v>149116.8</x:v>
      </x:c>
      <x:c r="T63" s="79" t="n">
        <x:v>4397796.69</x:v>
      </x:c>
      <x:c r="U63" s="74" t="str">
        <x:v>ORDER NOW</x:v>
      </x:c>
    </x:row>
    <x:row r="64" ht="15" hidden="0" customHeight="1">
      <x:c r="A64" s="74" t="str">
        <x:v>KNI-010</x:v>
      </x:c>
      <x:c r="B64" s="74" t="str">
        <x:v>Essential Knitwear</x:v>
      </x:c>
      <x:c r="C64" s="74" t="str">
        <x:v>Knitwear</x:v>
      </x:c>
      <x:c r="D64" s="74" t="str">
        <x:v>Istanbul Leather</x:v>
      </x:c>
      <x:c r="E64" s="74" t="str">
        <x:v>Gradient Boosting</x:v>
      </x:c>
      <x:c r="F64" s="80" t="n">
        <x:v>0.142792</x:v>
      </x:c>
      <x:c r="G64" s="80" t="n">
        <x:v>0.97</x:v>
      </x:c>
      <x:c r="H64" s="74" t="n">
        <x:v>28</x:v>
      </x:c>
      <x:c r="I64" s="74" t="n">
        <x:v>66.719</x:v>
      </x:c>
      <x:c r="J64" s="74" t="n">
        <x:v>3469.371</x:v>
      </x:c>
      <x:c r="K64" s="74" t="n">
        <x:v>235</x:v>
      </x:c>
      <x:c r="L64" s="74" t="n">
        <x:v>0</x:v>
      </x:c>
      <x:c r="M64" s="74" t="n">
        <x:v>235</x:v>
      </x:c>
      <x:c r="N64" s="74" t="n">
        <x:v>3.522</x:v>
      </x:c>
      <x:c r="O64" s="74" t="n">
        <x:v>54.513</x:v>
      </x:c>
      <x:c r="P64" s="74" t="n">
        <x:v>321.388</x:v>
      </x:c>
      <x:c r="Q64" s="74" t="n">
        <x:v>376.935</x:v>
      </x:c>
      <x:c r="R64" s="74" t="n">
        <x:v>354</x:v>
      </x:c>
      <x:c r="S64" s="79" t="n">
        <x:v>134056.26</x:v>
      </x:c>
      <x:c r="T64" s="79" t="n">
        <x:v>3104251.23</x:v>
      </x:c>
      <x:c r="U64" s="74" t="str">
        <x:v>ORDER NOW</x:v>
      </x:c>
    </x:row>
    <x:row r="65" ht="15" hidden="0" customHeight="1">
      <x:c r="A65" s="74" t="str">
        <x:v>TOP-003</x:v>
      </x:c>
      <x:c r="B65" s="74" t="str">
        <x:v>Linen Top</x:v>
      </x:c>
      <x:c r="C65" s="74" t="str">
        <x:v>Tops</x:v>
      </x:c>
      <x:c r="D65" s="74" t="str">
        <x:v>Bosporus Accessories</x:v>
      </x:c>
      <x:c r="E65" s="74" t="str">
        <x:v>Gradient Boosting</x:v>
      </x:c>
      <x:c r="F65" s="80" t="n">
        <x:v>0.124157</x:v>
      </x:c>
      <x:c r="G65" s="80" t="n">
        <x:v>0.97</x:v>
      </x:c>
      <x:c r="H65" s="74" t="n">
        <x:v>7</x:v>
      </x:c>
      <x:c r="I65" s="74" t="n">
        <x:v>87.041</x:v>
      </x:c>
      <x:c r="J65" s="74" t="n">
        <x:v>4526.131</x:v>
      </x:c>
      <x:c r="K65" s="74" t="n">
        <x:v>109</x:v>
      </x:c>
      <x:c r="L65" s="74" t="n">
        <x:v>0</x:v>
      </x:c>
      <x:c r="M65" s="74" t="n">
        <x:v>109</x:v>
      </x:c>
      <x:c r="N65" s="74" t="n">
        <x:v>1.252</x:v>
      </x:c>
      <x:c r="O65" s="74" t="n">
        <x:v>24.527</x:v>
      </x:c>
      <x:c r="P65" s="74" t="n">
        <x:v>111.568</x:v>
      </x:c>
      <x:c r="Q65" s="74" t="n">
        <x:v>559.879</x:v>
      </x:c>
      <x:c r="R65" s="74" t="n">
        <x:v>354</x:v>
      </x:c>
      <x:c r="S65" s="79" t="n">
        <x:v>121652.1</x:v>
      </x:c>
      <x:c r="T65" s="79" t="n">
        <x:v>4087774.82</x:v>
      </x:c>
      <x:c r="U65" s="74" t="str">
        <x:v>ORDER NOW</x:v>
      </x:c>
    </x:row>
  </x:sheetData>
  <x:mergeCells>
    <x:mergeCell ref="A1:U2"/>
    <x:mergeCell ref="A3:U3"/>
  </x:mergeCells>
  <x:conditionalFormatting sqref="N6:N65">
    <x:cfRule type="colorScale" priority="1">
      <x:colorScale>
        <x:cfvo type="min"/>
        <x:cfvo type="percentile" val="50"/>
        <x:cfvo type="max"/>
        <x:color rgb="FFFDECEC"/>
        <x:color rgb="FFFFF4D6"/>
        <x:color rgb="FFE8F7EE"/>
      </x:colorScale>
    </x:cfRule>
  </x:conditionalFormatting>
  <x:conditionalFormatting sqref="U6:U65">
    <x:cfRule type="containsText" dxfId="0" priority="2" operator="containsText" text="ORDER NOW"/>
    <x:cfRule type="containsText" dxfId="1" priority="3" operator="containsText" text="MONITOR"/>
    <x:cfRule type="containsText" dxfId="2" priority="4" operator="containsText" text="HEALTHY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</x:cols>
  <x:sheetData>
    <x:row r="1" ht="25" customHeight="1">
      <x:c r="A1" s="68" t="str">
        <x:v>Forecast Accuracy</x:v>
      </x:c>
      <x:c r="B1" s="68"/>
      <x:c r="C1" s="68"/>
      <x:c r="D1" s="68"/>
      <x:c r="E1" s="68"/>
      <x:c r="F1" s="68"/>
    </x:row>
    <x:row r="2" ht="25" customHeight="1">
      <x:c r="A2" s="68"/>
      <x:c r="B2" s="68"/>
      <x:c r="C2" s="68"/>
      <x:c r="D2" s="68"/>
      <x:c r="E2" s="68"/>
      <x:c r="F2" s="68"/>
    </x:row>
    <x:row r="3" ht="15" hidden="0" customHeight="1">
      <x:c r="A3" s="71" t="str">
        <x:v>Champion model and backtest performance by SKU</x:v>
      </x:c>
      <x:c r="B3" s="71"/>
      <x:c r="C3" s="71"/>
      <x:c r="D3" s="71"/>
      <x:c r="E3" s="71"/>
      <x:c r="F3" s="71"/>
    </x:row>
    <x:row r="4"/>
    <x:row r="5" ht="21.600000381469727" hidden="0" customHeight="1">
      <x:c r="A5" s="78" t="str">
        <x:v>SKU</x:v>
      </x:c>
      <x:c r="B5" s="78" t="str">
        <x:v>Champion Model</x:v>
      </x:c>
      <x:c r="C5" s="78" t="str">
        <x:v>MAE</x:v>
      </x:c>
      <x:c r="D5" s="78" t="str">
        <x:v>WAPE</x:v>
      </x:c>
      <x:c r="E5" s="78" t="str">
        <x:v>Bias</x:v>
      </x:c>
      <x:c r="F5" s="78" t="str">
        <x:v>Champion</x:v>
      </x:c>
      <x:c r="H5" s="78" t="str">
        <x:v>Model</x:v>
      </x:c>
      <x:c r="I5" s="78" t="str">
        <x:v>Champion SKUs</x:v>
      </x:c>
    </x:row>
    <x:row r="6" ht="15" hidden="0" customHeight="1">
      <x:c r="A6" s="74" t="str">
        <x:v>ACC-001</x:v>
      </x:c>
      <x:c r="B6" s="74" t="str">
        <x:v>Gradient Boosting</x:v>
      </x:c>
      <x:c r="C6" s="74" t="n">
        <x:v>20.6505</x:v>
      </x:c>
      <x:c r="D6" s="80" t="n">
        <x:v>0.168206</x:v>
      </x:c>
      <x:c r="E6" s="80" t="n">
        <x:v>-0.000983</x:v>
      </x:c>
      <x:c r="F6" s="84" t="b">
        <x:v>1</x:v>
      </x:c>
      <x:c r="H6" s="74" t="str">
        <x:v>Gradient Boosting</x:v>
      </x:c>
      <x:c r="I6" s="74" t="n">
        <x:v>55</x:v>
      </x:c>
    </x:row>
    <x:row r="7" ht="15" hidden="0" customHeight="1">
      <x:c r="A7" s="74" t="str">
        <x:v>ACC-002</x:v>
      </x:c>
      <x:c r="B7" s="74" t="str">
        <x:v>Seasonal Naive</x:v>
      </x:c>
      <x:c r="C7" s="74" t="n">
        <x:v>18.1538</x:v>
      </x:c>
      <x:c r="D7" s="80" t="n">
        <x:v>0.17052</x:v>
      </x:c>
      <x:c r="E7" s="80" t="n">
        <x:v>-0.080925</x:v>
      </x:c>
      <x:c r="F7" s="84" t="b">
        <x:v>1</x:v>
      </x:c>
      <x:c r="H7" s="74" t="str">
        <x:v>Seasonal Naive</x:v>
      </x:c>
      <x:c r="I7" s="74" t="n">
        <x:v>5</x:v>
      </x:c>
    </x:row>
    <x:row r="8" ht="15" hidden="0" customHeight="1">
      <x:c r="A8" s="74" t="str">
        <x:v>ACC-003</x:v>
      </x:c>
      <x:c r="B8" s="74" t="str">
        <x:v>Gradient Boosting</x:v>
      </x:c>
      <x:c r="C8" s="74" t="n">
        <x:v>10.7959</x:v>
      </x:c>
      <x:c r="D8" s="80" t="n">
        <x:v>0.096063</x:v>
      </x:c>
      <x:c r="E8" s="80" t="n">
        <x:v>0.02714</x:v>
      </x:c>
      <x:c r="F8" s="84" t="b">
        <x:v>1</x:v>
      </x:c>
      <x:c r="H8" s="74" t="str">
        <x:v>8-Week Moving Average</x:v>
      </x:c>
      <x:c r="I8" s="74" t="n">
        <x:v>0</x:v>
      </x:c>
    </x:row>
    <x:row r="9" ht="15" hidden="0" customHeight="1">
      <x:c r="A9" s="74" t="str">
        <x:v>ACC-004</x:v>
      </x:c>
      <x:c r="B9" s="74" t="str">
        <x:v>Gradient Boosting</x:v>
      </x:c>
      <x:c r="C9" s="74" t="n">
        <x:v>14.4167</x:v>
      </x:c>
      <x:c r="D9" s="80" t="n">
        <x:v>0.114769</x:v>
      </x:c>
      <x:c r="E9" s="80" t="n">
        <x:v>-0.037512</x:v>
      </x:c>
      <x:c r="F9" s="84" t="b">
        <x:v>1</x:v>
      </x:c>
    </x:row>
    <x:row r="10" ht="15" hidden="0" customHeight="1">
      <x:c r="A10" s="74" t="str">
        <x:v>ACC-005</x:v>
      </x:c>
      <x:c r="B10" s="74" t="str">
        <x:v>Gradient Boosting</x:v>
      </x:c>
      <x:c r="C10" s="74" t="n">
        <x:v>13.8228</x:v>
      </x:c>
      <x:c r="D10" s="80" t="n">
        <x:v>0.136134</x:v>
      </x:c>
      <x:c r="E10" s="80" t="n">
        <x:v>0.031108</x:v>
      </x:c>
      <x:c r="F10" s="84" t="b">
        <x:v>1</x:v>
      </x:c>
    </x:row>
    <x:row r="11" ht="15" hidden="0" customHeight="1">
      <x:c r="A11" s="74" t="str">
        <x:v>ACC-006</x:v>
      </x:c>
      <x:c r="B11" s="74" t="str">
        <x:v>Gradient Boosting</x:v>
      </x:c>
      <x:c r="C11" s="74" t="n">
        <x:v>31.441</x:v>
      </x:c>
      <x:c r="D11" s="80" t="n">
        <x:v>0.177324</x:v>
      </x:c>
      <x:c r="E11" s="80" t="n">
        <x:v>-0.130059</x:v>
      </x:c>
      <x:c r="F11" s="84" t="b">
        <x:v>1</x:v>
      </x:c>
    </x:row>
    <x:row r="12" ht="15" hidden="0" customHeight="1">
      <x:c r="A12" s="74" t="str">
        <x:v>ACC-007</x:v>
      </x:c>
      <x:c r="B12" s="74" t="str">
        <x:v>Gradient Boosting</x:v>
      </x:c>
      <x:c r="C12" s="74" t="n">
        <x:v>15.6383</x:v>
      </x:c>
      <x:c r="D12" s="80" t="n">
        <x:v>0.132096</x:v>
      </x:c>
      <x:c r="E12" s="80" t="n">
        <x:v>0.007766</x:v>
      </x:c>
      <x:c r="F12" s="84" t="b">
        <x:v>1</x:v>
      </x:c>
    </x:row>
    <x:row r="13" ht="15" hidden="0" customHeight="1">
      <x:c r="A13" s="74" t="str">
        <x:v>ACC-008</x:v>
      </x:c>
      <x:c r="B13" s="74" t="str">
        <x:v>Gradient Boosting</x:v>
      </x:c>
      <x:c r="C13" s="74" t="n">
        <x:v>24.6363</x:v>
      </x:c>
      <x:c r="D13" s="80" t="n">
        <x:v>0.177239</x:v>
      </x:c>
      <x:c r="E13" s="80" t="n">
        <x:v>-0.091563</x:v>
      </x:c>
      <x:c r="F13" s="84" t="b">
        <x:v>1</x:v>
      </x:c>
    </x:row>
    <x:row r="14" ht="15" hidden="0" customHeight="1">
      <x:c r="A14" s="74" t="str">
        <x:v>ACC-009</x:v>
      </x:c>
      <x:c r="B14" s="74" t="str">
        <x:v>Gradient Boosting</x:v>
      </x:c>
      <x:c r="C14" s="74" t="n">
        <x:v>15.3301</x:v>
      </x:c>
      <x:c r="D14" s="80" t="n">
        <x:v>0.135296</x:v>
      </x:c>
      <x:c r="E14" s="80" t="n">
        <x:v>-0.022026</x:v>
      </x:c>
      <x:c r="F14" s="84" t="b">
        <x:v>1</x:v>
      </x:c>
    </x:row>
    <x:row r="15" ht="15" hidden="0" customHeight="1">
      <x:c r="A15" s="74" t="str">
        <x:v>ACC-010</x:v>
      </x:c>
      <x:c r="B15" s="74" t="str">
        <x:v>Gradient Boosting</x:v>
      </x:c>
      <x:c r="C15" s="74" t="n">
        <x:v>19.053</x:v>
      </x:c>
      <x:c r="D15" s="80" t="n">
        <x:v>0.151957</x:v>
      </x:c>
      <x:c r="E15" s="80" t="n">
        <x:v>-0.011391</x:v>
      </x:c>
      <x:c r="F15" s="84" t="b">
        <x:v>1</x:v>
      </x:c>
    </x:row>
    <x:row r="16" ht="15" hidden="0" customHeight="1">
      <x:c r="A16" s="74" t="str">
        <x:v>BOT-001</x:v>
      </x:c>
      <x:c r="B16" s="74" t="str">
        <x:v>Gradient Boosting</x:v>
      </x:c>
      <x:c r="C16" s="74" t="n">
        <x:v>8.9793</x:v>
      </x:c>
      <x:c r="D16" s="80" t="n">
        <x:v>0.103302</x:v>
      </x:c>
      <x:c r="E16" s="80" t="n">
        <x:v>0.021691</x:v>
      </x:c>
      <x:c r="F16" s="84" t="b">
        <x:v>1</x:v>
      </x:c>
    </x:row>
    <x:row r="17" ht="15" hidden="0" customHeight="1">
      <x:c r="A17" s="74" t="str">
        <x:v>BOT-002</x:v>
      </x:c>
      <x:c r="B17" s="74" t="str">
        <x:v>Gradient Boosting</x:v>
      </x:c>
      <x:c r="C17" s="74" t="n">
        <x:v>17.5815</x:v>
      </x:c>
      <x:c r="D17" s="80" t="n">
        <x:v>0.177453</x:v>
      </x:c>
      <x:c r="E17" s="80" t="n">
        <x:v>-0.072764</x:v>
      </x:c>
      <x:c r="F17" s="84" t="b">
        <x:v>1</x:v>
      </x:c>
    </x:row>
    <x:row r="18" ht="15" hidden="0" customHeight="1">
      <x:c r="A18" s="74" t="str">
        <x:v>BOT-003</x:v>
      </x:c>
      <x:c r="B18" s="74" t="str">
        <x:v>Gradient Boosting</x:v>
      </x:c>
      <x:c r="C18" s="74" t="n">
        <x:v>13.4046</x:v>
      </x:c>
      <x:c r="D18" s="80" t="n">
        <x:v>0.151531</x:v>
      </x:c>
      <x:c r="E18" s="80" t="n">
        <x:v>-0.070327</x:v>
      </x:c>
      <x:c r="F18" s="84" t="b">
        <x:v>1</x:v>
      </x:c>
    </x:row>
    <x:row r="19" ht="15" hidden="0" customHeight="1">
      <x:c r="A19" s="74" t="str">
        <x:v>BOT-004</x:v>
      </x:c>
      <x:c r="B19" s="74" t="str">
        <x:v>Gradient Boosting</x:v>
      </x:c>
      <x:c r="C19" s="74" t="n">
        <x:v>10.2045</x:v>
      </x:c>
      <x:c r="D19" s="80" t="n">
        <x:v>0.153544</x:v>
      </x:c>
      <x:c r="E19" s="80" t="n">
        <x:v>0.035513</x:v>
      </x:c>
      <x:c r="F19" s="84" t="b">
        <x:v>1</x:v>
      </x:c>
    </x:row>
    <x:row r="20" ht="15" hidden="0" customHeight="1">
      <x:c r="A20" s="74" t="str">
        <x:v>BOT-005</x:v>
      </x:c>
      <x:c r="B20" s="74" t="str">
        <x:v>Seasonal Naive</x:v>
      </x:c>
      <x:c r="C20" s="74" t="n">
        <x:v>14.7692</x:v>
      </x:c>
      <x:c r="D20" s="80" t="n">
        <x:v>0.167832</x:v>
      </x:c>
      <x:c r="E20" s="80" t="n">
        <x:v>-0.09965</x:v>
      </x:c>
      <x:c r="F20" s="84" t="b">
        <x:v>1</x:v>
      </x:c>
    </x:row>
    <x:row r="21" ht="15" hidden="0" customHeight="1">
      <x:c r="A21" s="74" t="str">
        <x:v>BOT-006</x:v>
      </x:c>
      <x:c r="B21" s="74" t="str">
        <x:v>Gradient Boosting</x:v>
      </x:c>
      <x:c r="C21" s="74" t="n">
        <x:v>14.5408</x:v>
      </x:c>
      <x:c r="D21" s="80" t="n">
        <x:v>0.149196</x:v>
      </x:c>
      <x:c r="E21" s="80" t="n">
        <x:v>-0.043275</x:v>
      </x:c>
      <x:c r="F21" s="84" t="b">
        <x:v>1</x:v>
      </x:c>
    </x:row>
    <x:row r="22" ht="15" hidden="0" customHeight="1">
      <x:c r="A22" s="74" t="str">
        <x:v>BOT-007</x:v>
      </x:c>
      <x:c r="B22" s="74" t="str">
        <x:v>Gradient Boosting</x:v>
      </x:c>
      <x:c r="C22" s="74" t="n">
        <x:v>13.9627</x:v>
      </x:c>
      <x:c r="D22" s="80" t="n">
        <x:v>0.175039</x:v>
      </x:c>
      <x:c r="E22" s="80" t="n">
        <x:v>-0.055396</x:v>
      </x:c>
      <x:c r="F22" s="84" t="b">
        <x:v>1</x:v>
      </x:c>
    </x:row>
    <x:row r="23" ht="15" hidden="0" customHeight="1">
      <x:c r="A23" s="74" t="str">
        <x:v>BOT-008</x:v>
      </x:c>
      <x:c r="B23" s="74" t="str">
        <x:v>Gradient Boosting</x:v>
      </x:c>
      <x:c r="C23" s="74" t="n">
        <x:v>11.3531</x:v>
      </x:c>
      <x:c r="D23" s="80" t="n">
        <x:v>0.169255</x:v>
      </x:c>
      <x:c r="E23" s="80" t="n">
        <x:v>-0.014649</x:v>
      </x:c>
      <x:c r="F23" s="84" t="b">
        <x:v>1</x:v>
      </x:c>
    </x:row>
    <x:row r="24" ht="15" hidden="0" customHeight="1">
      <x:c r="A24" s="74" t="str">
        <x:v>BOT-009</x:v>
      </x:c>
      <x:c r="B24" s="74" t="str">
        <x:v>Seasonal Naive</x:v>
      </x:c>
      <x:c r="C24" s="74" t="n">
        <x:v>9.1546</x:v>
      </x:c>
      <x:c r="D24" s="80" t="n">
        <x:v>0.159102</x:v>
      </x:c>
      <x:c r="E24" s="80" t="n">
        <x:v>-0.097606</x:v>
      </x:c>
      <x:c r="F24" s="84" t="b">
        <x:v>1</x:v>
      </x:c>
    </x:row>
    <x:row r="25" ht="15" hidden="0" customHeight="1">
      <x:c r="A25" s="74" t="str">
        <x:v>BOT-010</x:v>
      </x:c>
      <x:c r="B25" s="74" t="str">
        <x:v>Gradient Boosting</x:v>
      </x:c>
      <x:c r="C25" s="74" t="n">
        <x:v>9.7017</x:v>
      </x:c>
      <x:c r="D25" s="80" t="n">
        <x:v>0.164651</x:v>
      </x:c>
      <x:c r="E25" s="80" t="n">
        <x:v>-0.006602</x:v>
      </x:c>
      <x:c r="F25" s="84" t="b">
        <x:v>1</x:v>
      </x:c>
    </x:row>
    <x:row r="26" ht="15" hidden="0" customHeight="1">
      <x:c r="A26" s="74" t="str">
        <x:v>DRE-001</x:v>
      </x:c>
      <x:c r="B26" s="74" t="str">
        <x:v>Gradient Boosting</x:v>
      </x:c>
      <x:c r="C26" s="74" t="n">
        <x:v>17.4947</x:v>
      </x:c>
      <x:c r="D26" s="80" t="n">
        <x:v>0.188583</x:v>
      </x:c>
      <x:c r="E26" s="80" t="n">
        <x:v>-0.01009</x:v>
      </x:c>
      <x:c r="F26" s="84" t="b">
        <x:v>1</x:v>
      </x:c>
    </x:row>
    <x:row r="27" ht="15" hidden="0" customHeight="1">
      <x:c r="A27" s="74" t="str">
        <x:v>DRE-002</x:v>
      </x:c>
      <x:c r="B27" s="74" t="str">
        <x:v>Seasonal Naive</x:v>
      </x:c>
      <x:c r="C27" s="74" t="n">
        <x:v>12.3085</x:v>
      </x:c>
      <x:c r="D27" s="80" t="n">
        <x:v>0.167027</x:v>
      </x:c>
      <x:c r="E27" s="80" t="n">
        <x:v>-0.123164</x:v>
      </x:c>
      <x:c r="F27" s="84" t="b">
        <x:v>1</x:v>
      </x:c>
    </x:row>
    <x:row r="28" ht="15" hidden="0" customHeight="1">
      <x:c r="A28" s="74" t="str">
        <x:v>DRE-003</x:v>
      </x:c>
      <x:c r="B28" s="74" t="str">
        <x:v>Gradient Boosting</x:v>
      </x:c>
      <x:c r="C28" s="74" t="n">
        <x:v>9.2962</x:v>
      </x:c>
      <x:c r="D28" s="80" t="n">
        <x:v>0.141512</x:v>
      </x:c>
      <x:c r="E28" s="80" t="n">
        <x:v>0.026989</x:v>
      </x:c>
      <x:c r="F28" s="84" t="b">
        <x:v>1</x:v>
      </x:c>
    </x:row>
    <x:row r="29" ht="15" hidden="0" customHeight="1">
      <x:c r="A29" s="74" t="str">
        <x:v>DRE-004</x:v>
      </x:c>
      <x:c r="B29" s="74" t="str">
        <x:v>Gradient Boosting</x:v>
      </x:c>
      <x:c r="C29" s="74" t="n">
        <x:v>16.2735</x:v>
      </x:c>
      <x:c r="D29" s="80" t="n">
        <x:v>0.162361</x:v>
      </x:c>
      <x:c r="E29" s="80" t="n">
        <x:v>-0.104806</x:v>
      </x:c>
      <x:c r="F29" s="84" t="b">
        <x:v>1</x:v>
      </x:c>
    </x:row>
    <x:row r="30" ht="15" hidden="0" customHeight="1">
      <x:c r="A30" s="74" t="str">
        <x:v>DRE-005</x:v>
      </x:c>
      <x:c r="B30" s="74" t="str">
        <x:v>Gradient Boosting</x:v>
      </x:c>
      <x:c r="C30" s="74" t="n">
        <x:v>13.1778</x:v>
      </x:c>
      <x:c r="D30" s="80" t="n">
        <x:v>0.149879</x:v>
      </x:c>
      <x:c r="E30" s="80" t="n">
        <x:v>-0.042041</x:v>
      </x:c>
      <x:c r="F30" s="84" t="b">
        <x:v>1</x:v>
      </x:c>
    </x:row>
    <x:row r="31" ht="15" hidden="0" customHeight="1">
      <x:c r="A31" s="74" t="str">
        <x:v>DRE-006</x:v>
      </x:c>
      <x:c r="B31" s="74" t="str">
        <x:v>Gradient Boosting</x:v>
      </x:c>
      <x:c r="C31" s="74" t="n">
        <x:v>15.2793</x:v>
      </x:c>
      <x:c r="D31" s="80" t="n">
        <x:v>0.161884</x:v>
      </x:c>
      <x:c r="E31" s="80" t="n">
        <x:v>-0.047043</x:v>
      </x:c>
      <x:c r="F31" s="84" t="b">
        <x:v>1</x:v>
      </x:c>
    </x:row>
    <x:row r="32" ht="15" hidden="0" customHeight="1">
      <x:c r="A32" s="74" t="str">
        <x:v>DRE-007</x:v>
      </x:c>
      <x:c r="B32" s="74" t="str">
        <x:v>Seasonal Naive</x:v>
      </x:c>
      <x:c r="C32" s="74" t="n">
        <x:v>10.6923</x:v>
      </x:c>
      <x:c r="D32" s="80" t="n">
        <x:v>0.218898</x:v>
      </x:c>
      <x:c r="E32" s="80" t="n">
        <x:v>-0.004724</x:v>
      </x:c>
      <x:c r="F32" s="84" t="b">
        <x:v>1</x:v>
      </x:c>
    </x:row>
    <x:row r="33" ht="15" hidden="0" customHeight="1">
      <x:c r="A33" s="74" t="str">
        <x:v>DRE-008</x:v>
      </x:c>
      <x:c r="B33" s="74" t="str">
        <x:v>Gradient Boosting</x:v>
      </x:c>
      <x:c r="C33" s="74" t="n">
        <x:v>10.5771</x:v>
      </x:c>
      <x:c r="D33" s="80" t="n">
        <x:v>0.160447</x:v>
      </x:c>
      <x:c r="E33" s="80" t="n">
        <x:v>0.051363</x:v>
      </x:c>
      <x:c r="F33" s="84" t="b">
        <x:v>1</x:v>
      </x:c>
    </x:row>
    <x:row r="34" ht="15" hidden="0" customHeight="1">
      <x:c r="A34" s="74" t="str">
        <x:v>DRE-009</x:v>
      </x:c>
      <x:c r="B34" s="74" t="str">
        <x:v>Gradient Boosting</x:v>
      </x:c>
      <x:c r="C34" s="74" t="n">
        <x:v>13.3416</x:v>
      </x:c>
      <x:c r="D34" s="80" t="n">
        <x:v>0.18373</x:v>
      </x:c>
      <x:c r="E34" s="80" t="n">
        <x:v>-0.001323</x:v>
      </x:c>
      <x:c r="F34" s="84" t="b">
        <x:v>1</x:v>
      </x:c>
    </x:row>
    <x:row r="35" ht="15" hidden="0" customHeight="1">
      <x:c r="A35" s="74" t="str">
        <x:v>DRE-010</x:v>
      </x:c>
      <x:c r="B35" s="74" t="str">
        <x:v>Gradient Boosting</x:v>
      </x:c>
      <x:c r="C35" s="74" t="n">
        <x:v>10.2832</x:v>
      </x:c>
      <x:c r="D35" s="80" t="n">
        <x:v>0.122755</x:v>
      </x:c>
      <x:c r="E35" s="80" t="n">
        <x:v>-0.008736</x:v>
      </x:c>
      <x:c r="F35" s="84" t="b">
        <x:v>1</x:v>
      </x:c>
    </x:row>
    <x:row r="36" ht="15" hidden="0" customHeight="1">
      <x:c r="A36" s="74" t="str">
        <x:v>KNI-001</x:v>
      </x:c>
      <x:c r="B36" s="74" t="str">
        <x:v>Gradient Boosting</x:v>
      </x:c>
      <x:c r="C36" s="74" t="n">
        <x:v>17.8417</x:v>
      </x:c>
      <x:c r="D36" s="80" t="n">
        <x:v>0.160181</x:v>
      </x:c>
      <x:c r="E36" s="80" t="n">
        <x:v>-0.074503</x:v>
      </x:c>
      <x:c r="F36" s="84" t="b">
        <x:v>1</x:v>
      </x:c>
    </x:row>
    <x:row r="37" ht="15" hidden="0" customHeight="1">
      <x:c r="A37" s="74" t="str">
        <x:v>KNI-002</x:v>
      </x:c>
      <x:c r="B37" s="74" t="str">
        <x:v>Gradient Boosting</x:v>
      </x:c>
      <x:c r="C37" s="74" t="n">
        <x:v>12.1116</x:v>
      </x:c>
      <x:c r="D37" s="80" t="n">
        <x:v>0.137512</x:v>
      </x:c>
      <x:c r="E37" s="80" t="n">
        <x:v>-0.018862</x:v>
      </x:c>
      <x:c r="F37" s="84" t="b">
        <x:v>1</x:v>
      </x:c>
    </x:row>
    <x:row r="38" ht="15" hidden="0" customHeight="1">
      <x:c r="A38" s="74" t="str">
        <x:v>KNI-003</x:v>
      </x:c>
      <x:c r="B38" s="74" t="str">
        <x:v>Gradient Boosting</x:v>
      </x:c>
      <x:c r="C38" s="74" t="n">
        <x:v>18.8499</x:v>
      </x:c>
      <x:c r="D38" s="80" t="n">
        <x:v>0.170409</x:v>
      </x:c>
      <x:c r="E38" s="80" t="n">
        <x:v>-0.085589</x:v>
      </x:c>
      <x:c r="F38" s="84" t="b">
        <x:v>1</x:v>
      </x:c>
    </x:row>
    <x:row r="39" ht="15" hidden="0" customHeight="1">
      <x:c r="A39" s="74" t="str">
        <x:v>KNI-004</x:v>
      </x:c>
      <x:c r="B39" s="74" t="str">
        <x:v>Gradient Boosting</x:v>
      </x:c>
      <x:c r="C39" s="74" t="n">
        <x:v>9.6075</x:v>
      </x:c>
      <x:c r="D39" s="80" t="n">
        <x:v>0.103222</x:v>
      </x:c>
      <x:c r="E39" s="80" t="n">
        <x:v>-0.072207</x:v>
      </x:c>
      <x:c r="F39" s="84" t="b">
        <x:v>1</x:v>
      </x:c>
    </x:row>
    <x:row r="40" ht="15" hidden="0" customHeight="1">
      <x:c r="A40" s="74" t="str">
        <x:v>KNI-005</x:v>
      </x:c>
      <x:c r="B40" s="74" t="str">
        <x:v>Gradient Boosting</x:v>
      </x:c>
      <x:c r="C40" s="74" t="n">
        <x:v>25.9582</x:v>
      </x:c>
      <x:c r="D40" s="80" t="n">
        <x:v>0.255649</x:v>
      </x:c>
      <x:c r="E40" s="80" t="n">
        <x:v>-0.04216</x:v>
      </x:c>
      <x:c r="F40" s="84" t="b">
        <x:v>1</x:v>
      </x:c>
    </x:row>
    <x:row r="41" ht="15" hidden="0" customHeight="1">
      <x:c r="A41" s="74" t="str">
        <x:v>KNI-006</x:v>
      </x:c>
      <x:c r="B41" s="74" t="str">
        <x:v>Gradient Boosting</x:v>
      </x:c>
      <x:c r="C41" s="74" t="n">
        <x:v>10.5644</x:v>
      </x:c>
      <x:c r="D41" s="80" t="n">
        <x:v>0.157678</x:v>
      </x:c>
      <x:c r="E41" s="80" t="n">
        <x:v>0.044376</x:v>
      </x:c>
      <x:c r="F41" s="84" t="b">
        <x:v>1</x:v>
      </x:c>
    </x:row>
    <x:row r="42" ht="15" hidden="0" customHeight="1">
      <x:c r="A42" s="74" t="str">
        <x:v>KNI-007</x:v>
      </x:c>
      <x:c r="B42" s="74" t="str">
        <x:v>Gradient Boosting</x:v>
      </x:c>
      <x:c r="C42" s="74" t="n">
        <x:v>10.2739</x:v>
      </x:c>
      <x:c r="D42" s="80" t="n">
        <x:v>0.088043</x:v>
      </x:c>
      <x:c r="E42" s="80" t="n">
        <x:v>-0.072169</x:v>
      </x:c>
      <x:c r="F42" s="84" t="b">
        <x:v>1</x:v>
      </x:c>
    </x:row>
    <x:row r="43" ht="15" hidden="0" customHeight="1">
      <x:c r="A43" s="74" t="str">
        <x:v>KNI-008</x:v>
      </x:c>
      <x:c r="B43" s="74" t="str">
        <x:v>Gradient Boosting</x:v>
      </x:c>
      <x:c r="C43" s="74" t="n">
        <x:v>19.645</x:v>
      </x:c>
      <x:c r="D43" s="80" t="n">
        <x:v>0.199365</x:v>
      </x:c>
      <x:c r="E43" s="80" t="n">
        <x:v>-0.100511</x:v>
      </x:c>
      <x:c r="F43" s="84" t="b">
        <x:v>1</x:v>
      </x:c>
    </x:row>
    <x:row r="44" ht="15" hidden="0" customHeight="1">
      <x:c r="A44" s="74" t="str">
        <x:v>KNI-009</x:v>
      </x:c>
      <x:c r="B44" s="74" t="str">
        <x:v>Gradient Boosting</x:v>
      </x:c>
      <x:c r="C44" s="74" t="n">
        <x:v>14.7641</x:v>
      </x:c>
      <x:c r="D44" s="80" t="n">
        <x:v>0.152326</x:v>
      </x:c>
      <x:c r="E44" s="80" t="n">
        <x:v>-0.054316</x:v>
      </x:c>
      <x:c r="F44" s="84" t="b">
        <x:v>1</x:v>
      </x:c>
    </x:row>
    <x:row r="45" ht="15" hidden="0" customHeight="1">
      <x:c r="A45" s="74" t="str">
        <x:v>KNI-010</x:v>
      </x:c>
      <x:c r="B45" s="74" t="str">
        <x:v>Gradient Boosting</x:v>
      </x:c>
      <x:c r="C45" s="74" t="n">
        <x:v>11.8847</x:v>
      </x:c>
      <x:c r="D45" s="80" t="n">
        <x:v>0.142792</x:v>
      </x:c>
      <x:c r="E45" s="80" t="n">
        <x:v>-0.045635</x:v>
      </x:c>
      <x:c r="F45" s="84" t="b">
        <x:v>1</x:v>
      </x:c>
    </x:row>
    <x:row r="46" ht="15" hidden="0" customHeight="1">
      <x:c r="A46" s="74" t="str">
        <x:v>OUT-001</x:v>
      </x:c>
      <x:c r="B46" s="74" t="str">
        <x:v>Gradient Boosting</x:v>
      </x:c>
      <x:c r="C46" s="74" t="n">
        <x:v>6.4191</x:v>
      </x:c>
      <x:c r="D46" s="80" t="n">
        <x:v>0.146916</x:v>
      </x:c>
      <x:c r="E46" s="80" t="n">
        <x:v>0.065874</x:v>
      </x:c>
      <x:c r="F46" s="84" t="b">
        <x:v>1</x:v>
      </x:c>
    </x:row>
    <x:row r="47" ht="15" hidden="0" customHeight="1">
      <x:c r="A47" s="74" t="str">
        <x:v>OUT-002</x:v>
      </x:c>
      <x:c r="B47" s="74" t="str">
        <x:v>Gradient Boosting</x:v>
      </x:c>
      <x:c r="C47" s="74" t="n">
        <x:v>12.3349</x:v>
      </x:c>
      <x:c r="D47" s="80" t="n">
        <x:v>0.157984</x:v>
      </x:c>
      <x:c r="E47" s="80" t="n">
        <x:v>-0.079738</x:v>
      </x:c>
      <x:c r="F47" s="84" t="b">
        <x:v>1</x:v>
      </x:c>
    </x:row>
    <x:row r="48" ht="15" hidden="0" customHeight="1">
      <x:c r="A48" s="74" t="str">
        <x:v>OUT-003</x:v>
      </x:c>
      <x:c r="B48" s="74" t="str">
        <x:v>Gradient Boosting</x:v>
      </x:c>
      <x:c r="C48" s="74" t="n">
        <x:v>5.7996</x:v>
      </x:c>
      <x:c r="D48" s="80" t="n">
        <x:v>0.127572</x:v>
      </x:c>
      <x:c r="E48" s="80" t="n">
        <x:v>-0.00576</x:v>
      </x:c>
      <x:c r="F48" s="84" t="b">
        <x:v>1</x:v>
      </x:c>
    </x:row>
    <x:row r="49" ht="15" hidden="0" customHeight="1">
      <x:c r="A49" s="74" t="str">
        <x:v>OUT-004</x:v>
      </x:c>
      <x:c r="B49" s="74" t="str">
        <x:v>Gradient Boosting</x:v>
      </x:c>
      <x:c r="C49" s="74" t="n">
        <x:v>6.3328</x:v>
      </x:c>
      <x:c r="D49" s="80" t="n">
        <x:v>0.161421</x:v>
      </x:c>
      <x:c r="E49" s="80" t="n">
        <x:v>0.037323</x:v>
      </x:c>
      <x:c r="F49" s="84" t="b">
        <x:v>1</x:v>
      </x:c>
    </x:row>
    <x:row r="50" ht="15" hidden="0" customHeight="1">
      <x:c r="A50" s="74" t="str">
        <x:v>OUT-005</x:v>
      </x:c>
      <x:c r="B50" s="74" t="str">
        <x:v>Gradient Boosting</x:v>
      </x:c>
      <x:c r="C50" s="74" t="n">
        <x:v>11.3475</x:v>
      </x:c>
      <x:c r="D50" s="80" t="n">
        <x:v>0.230857</x:v>
      </x:c>
      <x:c r="E50" s="80" t="n">
        <x:v>-0.042272</x:v>
      </x:c>
      <x:c r="F50" s="84" t="b">
        <x:v>1</x:v>
      </x:c>
    </x:row>
    <x:row r="51" ht="15" hidden="0" customHeight="1">
      <x:c r="A51" s="74" t="str">
        <x:v>OUT-006</x:v>
      </x:c>
      <x:c r="B51" s="74" t="str">
        <x:v>Gradient Boosting</x:v>
      </x:c>
      <x:c r="C51" s="74" t="n">
        <x:v>9.3511</x:v>
      </x:c>
      <x:c r="D51" s="80" t="n">
        <x:v>0.220625</x:v>
      </x:c>
      <x:c r="E51" s="80" t="n">
        <x:v>-0.048154</x:v>
      </x:c>
      <x:c r="F51" s="84" t="b">
        <x:v>1</x:v>
      </x:c>
    </x:row>
    <x:row r="52" ht="15" hidden="0" customHeight="1">
      <x:c r="A52" s="74" t="str">
        <x:v>OUT-007</x:v>
      </x:c>
      <x:c r="B52" s="74" t="str">
        <x:v>Gradient Boosting</x:v>
      </x:c>
      <x:c r="C52" s="74" t="n">
        <x:v>13.271</x:v>
      </x:c>
      <x:c r="D52" s="80" t="n">
        <x:v>0.192547</x:v>
      </x:c>
      <x:c r="E52" s="80" t="n">
        <x:v>-0.07537</x:v>
      </x:c>
      <x:c r="F52" s="84" t="b">
        <x:v>1</x:v>
      </x:c>
    </x:row>
    <x:row r="53" ht="15" hidden="0" customHeight="1">
      <x:c r="A53" s="74" t="str">
        <x:v>OUT-008</x:v>
      </x:c>
      <x:c r="B53" s="74" t="str">
        <x:v>Gradient Boosting</x:v>
      </x:c>
      <x:c r="C53" s="74" t="n">
        <x:v>8.9539</x:v>
      </x:c>
      <x:c r="D53" s="80" t="n">
        <x:v>0.217567</x:v>
      </x:c>
      <x:c r="E53" s="80" t="n">
        <x:v>-0.027516</x:v>
      </x:c>
      <x:c r="F53" s="84" t="b">
        <x:v>1</x:v>
      </x:c>
    </x:row>
    <x:row r="54" ht="15" hidden="0" customHeight="1">
      <x:c r="A54" s="74" t="str">
        <x:v>OUT-009</x:v>
      </x:c>
      <x:c r="B54" s="74" t="str">
        <x:v>Gradient Boosting</x:v>
      </x:c>
      <x:c r="C54" s="74" t="n">
        <x:v>9.2637</x:v>
      </x:c>
      <x:c r="D54" s="80" t="n">
        <x:v>0.154593</x:v>
      </x:c>
      <x:c r="E54" s="80" t="n">
        <x:v>-0.047853</x:v>
      </x:c>
      <x:c r="F54" s="84" t="b">
        <x:v>1</x:v>
      </x:c>
    </x:row>
    <x:row r="55" ht="15" hidden="0" customHeight="1">
      <x:c r="A55" s="74" t="str">
        <x:v>OUT-010</x:v>
      </x:c>
      <x:c r="B55" s="74" t="str">
        <x:v>Gradient Boosting</x:v>
      </x:c>
      <x:c r="C55" s="74" t="n">
        <x:v>7.9816</x:v>
      </x:c>
      <x:c r="D55" s="80" t="n">
        <x:v>0.167087</x:v>
      </x:c>
      <x:c r="E55" s="80" t="n">
        <x:v>0.024179</x:v>
      </x:c>
      <x:c r="F55" s="84" t="b">
        <x:v>1</x:v>
      </x:c>
    </x:row>
    <x:row r="56" ht="15" hidden="0" customHeight="1">
      <x:c r="A56" s="74" t="str">
        <x:v>TOP-001</x:v>
      </x:c>
      <x:c r="B56" s="74" t="str">
        <x:v>Gradient Boosting</x:v>
      </x:c>
      <x:c r="C56" s="74" t="n">
        <x:v>8.2921</x:v>
      </x:c>
      <x:c r="D56" s="80" t="n">
        <x:v>0.099444</x:v>
      </x:c>
      <x:c r="E56" s="80" t="n">
        <x:v>-0.019025</x:v>
      </x:c>
      <x:c r="F56" s="84" t="b">
        <x:v>1</x:v>
      </x:c>
    </x:row>
    <x:row r="57" ht="15" hidden="0" customHeight="1">
      <x:c r="A57" s="74" t="str">
        <x:v>TOP-002</x:v>
      </x:c>
      <x:c r="B57" s="74" t="str">
        <x:v>Gradient Boosting</x:v>
      </x:c>
      <x:c r="C57" s="74" t="n">
        <x:v>12.6743</x:v>
      </x:c>
      <x:c r="D57" s="80" t="n">
        <x:v>0.1789</x:v>
      </x:c>
      <x:c r="E57" s="80" t="n">
        <x:v>0.05918</x:v>
      </x:c>
      <x:c r="F57" s="84" t="b">
        <x:v>1</x:v>
      </x:c>
    </x:row>
    <x:row r="58" ht="15" hidden="0" customHeight="1">
      <x:c r="A58" s="74" t="str">
        <x:v>TOP-003</x:v>
      </x:c>
      <x:c r="B58" s="74" t="str">
        <x:v>Gradient Boosting</x:v>
      </x:c>
      <x:c r="C58" s="74" t="n">
        <x:v>9.9994</x:v>
      </x:c>
      <x:c r="D58" s="80" t="n">
        <x:v>0.124157</x:v>
      </x:c>
      <x:c r="E58" s="80" t="n">
        <x:v>-0.001109</x:v>
      </x:c>
      <x:c r="F58" s="84" t="b">
        <x:v>1</x:v>
      </x:c>
    </x:row>
    <x:row r="59" ht="15" hidden="0" customHeight="1">
      <x:c r="A59" s="74" t="str">
        <x:v>TOP-004</x:v>
      </x:c>
      <x:c r="B59" s="74" t="str">
        <x:v>Gradient Boosting</x:v>
      </x:c>
      <x:c r="C59" s="74" t="n">
        <x:v>11.5234</x:v>
      </x:c>
      <x:c r="D59" s="80" t="n">
        <x:v>0.138836</x:v>
      </x:c>
      <x:c r="E59" s="80" t="n">
        <x:v>-0.013643</x:v>
      </x:c>
      <x:c r="F59" s="84" t="b">
        <x:v>1</x:v>
      </x:c>
    </x:row>
    <x:row r="60" ht="15" hidden="0" customHeight="1">
      <x:c r="A60" s="74" t="str">
        <x:v>TOP-005</x:v>
      </x:c>
      <x:c r="B60" s="74" t="str">
        <x:v>Gradient Boosting</x:v>
      </x:c>
      <x:c r="C60" s="74" t="n">
        <x:v>15.1514</x:v>
      </x:c>
      <x:c r="D60" s="80" t="n">
        <x:v>0.194057</x:v>
      </x:c>
      <x:c r="E60" s="80" t="n">
        <x:v>0.051492</x:v>
      </x:c>
      <x:c r="F60" s="84" t="b">
        <x:v>1</x:v>
      </x:c>
    </x:row>
    <x:row r="61" ht="15" hidden="0" customHeight="1">
      <x:c r="A61" s="74" t="str">
        <x:v>TOP-006</x:v>
      </x:c>
      <x:c r="B61" s="74" t="str">
        <x:v>Gradient Boosting</x:v>
      </x:c>
      <x:c r="C61" s="74" t="n">
        <x:v>9.0733</x:v>
      </x:c>
      <x:c r="D61" s="80" t="n">
        <x:v>0.093169</x:v>
      </x:c>
      <x:c r="E61" s="80" t="n">
        <x:v>0.045594</x:v>
      </x:c>
      <x:c r="F61" s="84" t="b">
        <x:v>1</x:v>
      </x:c>
    </x:row>
    <x:row r="62" ht="15" hidden="0" customHeight="1">
      <x:c r="A62" s="74" t="str">
        <x:v>TOP-007</x:v>
      </x:c>
      <x:c r="B62" s="74" t="str">
        <x:v>Gradient Boosting</x:v>
      </x:c>
      <x:c r="C62" s="74" t="n">
        <x:v>14.881</x:v>
      </x:c>
      <x:c r="D62" s="80" t="n">
        <x:v>0.148013</x:v>
      </x:c>
      <x:c r="E62" s="80" t="n">
        <x:v>-0.006414</x:v>
      </x:c>
      <x:c r="F62" s="84" t="b">
        <x:v>1</x:v>
      </x:c>
    </x:row>
    <x:row r="63" ht="15" hidden="0" customHeight="1">
      <x:c r="A63" s="74" t="str">
        <x:v>TOP-008</x:v>
      </x:c>
      <x:c r="B63" s="74" t="str">
        <x:v>Gradient Boosting</x:v>
      </x:c>
      <x:c r="C63" s="74" t="n">
        <x:v>12.5909</x:v>
      </x:c>
      <x:c r="D63" s="80" t="n">
        <x:v>0.156932</x:v>
      </x:c>
      <x:c r="E63" s="80" t="n">
        <x:v>0.023098</x:v>
      </x:c>
      <x:c r="F63" s="84" t="b">
        <x:v>1</x:v>
      </x:c>
    </x:row>
    <x:row r="64" ht="15" hidden="0" customHeight="1">
      <x:c r="A64" s="74" t="str">
        <x:v>TOP-009</x:v>
      </x:c>
      <x:c r="B64" s="74" t="str">
        <x:v>Gradient Boosting</x:v>
      </x:c>
      <x:c r="C64" s="74" t="n">
        <x:v>15.8127</x:v>
      </x:c>
      <x:c r="D64" s="80" t="n">
        <x:v>0.133052</x:v>
      </x:c>
      <x:c r="E64" s="80" t="n">
        <x:v>-0.03921</x:v>
      </x:c>
      <x:c r="F64" s="84" t="b">
        <x:v>1</x:v>
      </x:c>
    </x:row>
    <x:row r="65" ht="15" hidden="0" customHeight="1">
      <x:c r="A65" s="74" t="str">
        <x:v>TOP-010</x:v>
      </x:c>
      <x:c r="B65" s="74" t="str">
        <x:v>Gradient Boosting</x:v>
      </x:c>
      <x:c r="C65" s="74" t="n">
        <x:v>13.9354</x:v>
      </x:c>
      <x:c r="D65" s="80" t="n">
        <x:v>0.141975</x:v>
      </x:c>
      <x:c r="E65" s="80" t="n">
        <x:v>-0.006665</x:v>
      </x:c>
      <x:c r="F65" s="84" t="b">
        <x:v>1</x:v>
      </x:c>
    </x:row>
  </x:sheetData>
  <x:mergeCells>
    <x:mergeCell ref="A1:F2"/>
    <x:mergeCell ref="A3:F3"/>
  </x:mergeCells>
  <x:conditionalFormatting sqref="D6:D65">
    <x:cfRule type="colorScale" priority="1">
      <x:colorScale>
        <x:cfvo type="min"/>
        <x:cfvo type="percentile" val="50"/>
        <x:cfvo type="max"/>
        <x:color rgb="FFE8F7EE"/>
        <x:color rgb="FFFFF4D6"/>
        <x:color rgb="FFFDECEC"/>
      </x:colorScale>
    </x:cfRule>
  </x:conditionalFormatting>
  <x:pageMargins left="0.7" right="0.7" top="0.75" bottom="0.75" header="0.3" footer="0.3"/>
  <x:drawing xmlns:r="http://schemas.openxmlformats.org/officeDocument/2006/relationships" r:id="R859922497fa94469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25" customHeight="1">
      <x:c r="A1" s="68" t="str">
        <x:v>Monthly Performance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</x:row>
    <x:row r="2" ht="25" customHeight="1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</x:row>
    <x:row r="3" ht="15" hidden="0" customHeight="1">
      <x:c r="A3" s="71" t="str">
        <x:v>Historical performance | January 2023 - December 2025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/>
    <x:row r="5" ht="21.600000381469727" hidden="0" customHeight="1">
      <x:c r="A5" s="78" t="str">
        <x:v>YearMonth</x:v>
      </x:c>
      <x:c r="B5" s="78" t="str">
        <x:v>EstimatedDemandUnits</x:v>
      </x:c>
      <x:c r="C5" s="78" t="str">
        <x:v>UnitsSold</x:v>
      </x:c>
      <x:c r="D5" s="78" t="str">
        <x:v>LostSalesUnits</x:v>
      </x:c>
      <x:c r="E5" s="78" t="str">
        <x:v>NetRevenueTRY</x:v>
      </x:c>
      <x:c r="F5" s="78" t="str">
        <x:v>GrossProfitTRY</x:v>
      </x:c>
      <x:c r="G5" s="78" t="str">
        <x:v>DiscountTRY</x:v>
      </x:c>
      <x:c r="H5" s="78" t="str">
        <x:v>AverageDiscountPct</x:v>
      </x:c>
      <x:c r="I5" s="78" t="str">
        <x:v>StockoutSalesRows</x:v>
      </x:c>
      <x:c r="J5" s="78" t="str">
        <x:v>AverageInventoryValueTRY</x:v>
      </x:c>
      <x:c r="K5" s="78" t="str">
        <x:v>AverageWeeksOfSupply</x:v>
      </x:c>
      <x:c r="L5" s="78" t="str">
        <x:v>StockoutSKUWeeks</x:v>
      </x:c>
      <x:c r="M5" s="78" t="str">
        <x:v>DemandFulfillmentRate</x:v>
      </x:c>
      <x:c r="N5" s="78" t="str">
        <x:v>GrossMarginPct</x:v>
      </x:c>
    </x:row>
    <x:row r="6" ht="15" hidden="0" customHeight="1">
      <x:c r="A6" s="74" t="str">
        <x:v>2023-01</x:v>
      </x:c>
      <x:c r="B6" s="74" t="n">
        <x:v>17699</x:v>
      </x:c>
      <x:c r="C6" s="74" t="n">
        <x:v>17699</x:v>
      </x:c>
      <x:c r="D6" s="74" t="n">
        <x:v>0</x:v>
      </x:c>
      <x:c r="E6" s="79" t="n">
        <x:v>28651604.2</x:v>
      </x:c>
      <x:c r="F6" s="79" t="n">
        <x:v>16549680.32</x:v>
      </x:c>
      <x:c r="G6" s="79" t="n">
        <x:v>1996595.8</x:v>
      </x:c>
      <x:c r="H6" s="79" t="n">
        <x:v>0.05739710789766407</x:v>
      </x:c>
      <x:c r="I6" s="79" t="n">
        <x:v>0</x:v>
      </x:c>
      <x:c r="J6" s="80" t="n">
        <x:v>240922.01093333334</x:v>
      </x:c>
      <x:c r="K6" s="74" t="n">
        <x:v>6.5452200000000005</x:v>
      </x:c>
      <x:c r="L6" s="74" t="n">
        <x:v>0</x:v>
      </x:c>
      <x:c r="M6" s="74" t="n">
        <x:v>1</x:v>
      </x:c>
      <x:c r="N6" s="80" t="n">
        <x:v>0.577617930377525</x:v>
      </x:c>
    </x:row>
    <x:row r="7" ht="15" hidden="0" customHeight="1">
      <x:c r="A7" s="74" t="str">
        <x:v>2023-02</x:v>
      </x:c>
      <x:c r="B7" s="74" t="n">
        <x:v>12969.99</x:v>
      </x:c>
      <x:c r="C7" s="74" t="n">
        <x:v>12917</x:v>
      </x:c>
      <x:c r="D7" s="74" t="n">
        <x:v>52.99</x:v>
      </x:c>
      <x:c r="E7" s="79" t="n">
        <x:v>22550934</x:v>
      </x:c>
      <x:c r="F7" s="79" t="n">
        <x:v>13622477.07</x:v>
      </x:c>
      <x:c r="G7" s="79" t="n">
        <x:v>132406</x:v>
      </x:c>
      <x:c r="H7" s="79" t="n">
        <x:v>0.006675938803894298</x:v>
      </x:c>
      <x:c r="I7" s="79" t="n">
        <x:v>18</x:v>
      </x:c>
      <x:c r="J7" s="80" t="n">
        <x:v>156807.3515</x:v>
      </x:c>
      <x:c r="K7" s="74" t="n">
        <x:v>4.225633333333334</x:v>
      </x:c>
      <x:c r="L7" s="74" t="n">
        <x:v>6</x:v>
      </x:c>
      <x:c r="M7" s="74" t="n">
        <x:v>0.9959144147374054</x:v>
      </x:c>
      <x:c r="N7" s="80" t="n">
        <x:v>0.604075958450324</x:v>
      </x:c>
    </x:row>
    <x:row r="8" ht="15" hidden="0" customHeight="1">
      <x:c r="A8" s="74" t="str">
        <x:v>2023-03</x:v>
      </x:c>
      <x:c r="B8" s="74" t="n">
        <x:v>14104</x:v>
      </x:c>
      <x:c r="C8" s="74" t="n">
        <x:v>14104</x:v>
      </x:c>
      <x:c r="D8" s="74" t="n">
        <x:v>0</x:v>
      </x:c>
      <x:c r="E8" s="79" t="n">
        <x:v>23120062.2</x:v>
      </x:c>
      <x:c r="F8" s="79" t="n">
        <x:v>13338747.74</x:v>
      </x:c>
      <x:c r="G8" s="79" t="n">
        <x:v>1771857.8</x:v>
      </x:c>
      <x:c r="H8" s="79" t="n">
        <x:v>0.06666666666666667</x:v>
      </x:c>
      <x:c r="I8" s="79" t="n">
        <x:v>0</x:v>
      </x:c>
      <x:c r="J8" s="80" t="n">
        <x:v>167741.23808333333</x:v>
      </x:c>
      <x:c r="K8" s="74" t="n">
        <x:v>4.530204166666667</x:v>
      </x:c>
      <x:c r="L8" s="74" t="n">
        <x:v>0</x:v>
      </x:c>
      <x:c r="M8" s="74" t="n">
        <x:v>1</x:v>
      </x:c>
      <x:c r="N8" s="80" t="n">
        <x:v>0.5769339037504839</x:v>
      </x:c>
    </x:row>
    <x:row r="9" ht="15" hidden="0" customHeight="1">
      <x:c r="A9" s="74" t="str">
        <x:v>2023-04</x:v>
      </x:c>
      <x:c r="B9" s="74" t="n">
        <x:v>13335</x:v>
      </x:c>
      <x:c r="C9" s="74" t="n">
        <x:v>13306</x:v>
      </x:c>
      <x:c r="D9" s="74" t="n">
        <x:v>29</x:v>
      </x:c>
      <x:c r="E9" s="79" t="n">
        <x:v>23393850.8</x:v>
      </x:c>
      <x:c r="F9" s="79" t="n">
        <x:v>14187238.59</x:v>
      </x:c>
      <x:c r="G9" s="79" t="n">
        <x:v>138069.2</x:v>
      </x:c>
      <x:c r="H9" s="79" t="n">
        <x:v>0.006666666666666666</x:v>
      </x:c>
      <x:c r="I9" s="79" t="n">
        <x:v>6</x:v>
      </x:c>
      <x:c r="J9" s="80" t="n">
        <x:v>173826.35666666666</x:v>
      </x:c>
      <x:c r="K9" s="74" t="n">
        <x:v>4.7498458333333335</x:v>
      </x:c>
      <x:c r="L9" s="74" t="n">
        <x:v>2</x:v>
      </x:c>
      <x:c r="M9" s="74" t="n">
        <x:v>0.9978252718410199</x:v>
      </x:c>
      <x:c r="N9" s="80" t="n">
        <x:v>0.6064516146268659</x:v>
      </x:c>
    </x:row>
    <x:row r="10" ht="15" hidden="0" customHeight="1">
      <x:c r="A10" s="74" t="str">
        <x:v>2023-05</x:v>
      </x:c>
      <x:c r="B10" s="74" t="n">
        <x:v>16480</x:v>
      </x:c>
      <x:c r="C10" s="74" t="n">
        <x:v>16359</x:v>
      </x:c>
      <x:c r="D10" s="74" t="n">
        <x:v>121</x:v>
      </x:c>
      <x:c r="E10" s="79" t="n">
        <x:v>28676542</x:v>
      </x:c>
      <x:c r="F10" s="79" t="n">
        <x:v>17473274.31</x:v>
      </x:c>
      <x:c r="G10" s="79" t="n">
        <x:v>167088</x:v>
      </x:c>
      <x:c r="H10" s="79" t="n">
        <x:v>0.0067039106145251395</x:v>
      </x:c>
      <x:c r="I10" s="79" t="n">
        <x:v>5</x:v>
      </x:c>
      <x:c r="J10" s="80" t="n">
        <x:v>165735.31023333332</x:v>
      </x:c>
      <x:c r="K10" s="74" t="n">
        <x:v>4.445623333333333</x:v>
      </x:c>
      <x:c r="L10" s="74" t="n">
        <x:v>2</x:v>
      </x:c>
      <x:c r="M10" s="74" t="n">
        <x:v>0.9926577669902913</x:v>
      </x:c>
      <x:c r="N10" s="80" t="n">
        <x:v>0.6093229201066154</x:v>
      </x:c>
    </x:row>
    <x:row r="11" ht="15" hidden="0" customHeight="1">
      <x:c r="A11" s="74" t="str">
        <x:v>2023-06</x:v>
      </x:c>
      <x:c r="B11" s="74" t="n">
        <x:v>14376</x:v>
      </x:c>
      <x:c r="C11" s="74" t="n">
        <x:v>14220</x:v>
      </x:c>
      <x:c r="D11" s="74" t="n">
        <x:v>156</x:v>
      </x:c>
      <x:c r="E11" s="79" t="n">
        <x:v>23534702.8</x:v>
      </x:c>
      <x:c r="F11" s="79" t="n">
        <x:v>13855342.08</x:v>
      </x:c>
      <x:c r="G11" s="79" t="n">
        <x:v>1458377.2</x:v>
      </x:c>
      <x:c r="H11" s="79" t="n">
        <x:v>0.043333333333333335</x:v>
      </x:c>
      <x:c r="I11" s="79" t="n">
        <x:v>18</x:v>
      </x:c>
      <x:c r="J11" s="80" t="n">
        <x:v>168979.61108333335</x:v>
      </x:c>
      <x:c r="K11" s="74" t="n">
        <x:v>4.7315916666666675</x:v>
      </x:c>
      <x:c r="L11" s="74" t="n">
        <x:v>6</x:v>
      </x:c>
      <x:c r="M11" s="74" t="n">
        <x:v>0.9891485809682805</x:v>
      </x:c>
      <x:c r="N11" s="80" t="n">
        <x:v>0.5887196536002146</x:v>
      </x:c>
    </x:row>
    <x:row r="12" ht="15" hidden="0" customHeight="1">
      <x:c r="A12" s="74" t="str">
        <x:v>2023-07</x:v>
      </x:c>
      <x:c r="B12" s="74" t="n">
        <x:v>18454.01</x:v>
      </x:c>
      <x:c r="C12" s="74" t="n">
        <x:v>18075</x:v>
      </x:c>
      <x:c r="D12" s="74" t="n">
        <x:v>379.01</x:v>
      </x:c>
      <x:c r="E12" s="79" t="n">
        <x:v>29625929.6</x:v>
      </x:c>
      <x:c r="F12" s="79" t="n">
        <x:v>17141779.74</x:v>
      </x:c>
      <x:c r="G12" s="79" t="n">
        <x:v>2581980.4</x:v>
      </x:c>
      <x:c r="H12" s="79" t="n">
        <x:v>0.06521252796420582</x:v>
      </x:c>
      <x:c r="I12" s="79" t="n">
        <x:v>30</x:v>
      </x:c>
      <x:c r="J12" s="80" t="n">
        <x:v>149741.41246666666</x:v>
      </x:c>
      <x:c r="K12" s="74" t="n">
        <x:v>4.065196666666666</x:v>
      </x:c>
      <x:c r="L12" s="74" t="n">
        <x:v>10</x:v>
      </x:c>
      <x:c r="M12" s="74" t="n">
        <x:v>0.9794619164073284</x:v>
      </x:c>
      <x:c r="N12" s="80" t="n">
        <x:v>0.5786073203927413</x:v>
      </x:c>
    </x:row>
    <x:row r="13" ht="15" hidden="0" customHeight="1">
      <x:c r="A13" s="74" t="str">
        <x:v>2023-08</x:v>
      </x:c>
      <x:c r="B13" s="74" t="n">
        <x:v>13358.99</x:v>
      </x:c>
      <x:c r="C13" s="74" t="n">
        <x:v>13198</x:v>
      </x:c>
      <x:c r="D13" s="74" t="n">
        <x:v>160.99</x:v>
      </x:c>
      <x:c r="E13" s="79" t="n">
        <x:v>23291871.6</x:v>
      </x:c>
      <x:c r="F13" s="79" t="n">
        <x:v>14187928.1</x:v>
      </x:c>
      <x:c r="G13" s="79" t="n">
        <x:v>135078.4</x:v>
      </x:c>
      <x:c r="H13" s="79" t="n">
        <x:v>0.006713286713286713</x:v>
      </x:c>
      <x:c r="I13" s="79" t="n">
        <x:v>15</x:v>
      </x:c>
      <x:c r="J13" s="80" t="n">
        <x:v>181282.089</x:v>
      </x:c>
      <x:c r="K13" s="74" t="n">
        <x:v>4.824158333333333</x:v>
      </x:c>
      <x:c r="L13" s="74" t="n">
        <x:v>5</x:v>
      </x:c>
      <x:c r="M13" s="74" t="n">
        <x:v>0.9879489392536412</x:v>
      </x:c>
      <x:c r="N13" s="80" t="n">
        <x:v>0.6091364551399983</x:v>
      </x:c>
    </x:row>
    <x:row r="14" ht="15" hidden="0" customHeight="1">
      <x:c r="A14" s="74" t="str">
        <x:v>2023-09</x:v>
      </x:c>
      <x:c r="B14" s="74" t="n">
        <x:v>14740</x:v>
      </x:c>
      <x:c r="C14" s="74" t="n">
        <x:v>14345</x:v>
      </x:c>
      <x:c r="D14" s="74" t="n">
        <x:v>395</x:v>
      </x:c>
      <x:c r="E14" s="79" t="n">
        <x:v>23727578</x:v>
      </x:c>
      <x:c r="F14" s="79" t="n">
        <x:v>13924656.87</x:v>
      </x:c>
      <x:c r="G14" s="79" t="n">
        <x:v>1512782</x:v>
      </x:c>
      <x:c r="H14" s="79" t="n">
        <x:v>0.05666666666666667</x:v>
      </x:c>
      <x:c r="I14" s="79" t="n">
        <x:v>24</x:v>
      </x:c>
      <x:c r="J14" s="80" t="n">
        <x:v>147113.15245833335</x:v>
      </x:c>
      <x:c r="K14" s="74" t="n">
        <x:v>4.157</x:v>
      </x:c>
      <x:c r="L14" s="74" t="n">
        <x:v>8</x:v>
      </x:c>
      <x:c r="M14" s="74" t="n">
        <x:v>0.973202170963365</x:v>
      </x:c>
      <x:c r="N14" s="80" t="n">
        <x:v>0.5868553827954964</x:v>
      </x:c>
    </x:row>
    <x:row r="15" ht="15" hidden="0" customHeight="1">
      <x:c r="A15" s="74" t="str">
        <x:v>2023-10</x:v>
      </x:c>
      <x:c r="B15" s="74" t="n">
        <x:v>16883</x:v>
      </x:c>
      <x:c r="C15" s="74" t="n">
        <x:v>16530</x:v>
      </x:c>
      <x:c r="D15" s="74" t="n">
        <x:v>353</x:v>
      </x:c>
      <x:c r="E15" s="79" t="n">
        <x:v>28775301</x:v>
      </x:c>
      <x:c r="F15" s="79" t="n">
        <x:v>17467643.54</x:v>
      </x:c>
      <x:c r="G15" s="79" t="n">
        <x:v>169719</x:v>
      </x:c>
      <x:c r="H15" s="79" t="n">
        <x:v>0.006666666666666667</x:v>
      </x:c>
      <x:c r="I15" s="79" t="n">
        <x:v>27</x:v>
      </x:c>
      <x:c r="J15" s="80" t="n">
        <x:v>166764.76929999999</x:v>
      </x:c>
      <x:c r="K15" s="74" t="n">
        <x:v>4.208893333333333</x:v>
      </x:c>
      <x:c r="L15" s="74" t="n">
        <x:v>9</x:v>
      </x:c>
      <x:c r="M15" s="74" t="n">
        <x:v>0.9790913937096487</x:v>
      </x:c>
      <x:c r="N15" s="80" t="n">
        <x:v>0.6070359972950413</x:v>
      </x:c>
    </x:row>
    <x:row r="16" ht="15" hidden="0" customHeight="1">
      <x:c r="A16" s="74" t="str">
        <x:v>2023-11</x:v>
      </x:c>
      <x:c r="B16" s="74" t="n">
        <x:v>21184.02</x:v>
      </x:c>
      <x:c r="C16" s="74" t="n">
        <x:v>18787</x:v>
      </x:c>
      <x:c r="D16" s="74" t="n">
        <x:v>2397.02</x:v>
      </x:c>
      <x:c r="E16" s="79" t="n">
        <x:v>25414100</x:v>
      </x:c>
      <x:c r="F16" s="79" t="n">
        <x:v>12830957.72</x:v>
      </x:c>
      <x:c r="G16" s="79" t="n">
        <x:v>6854250</x:v>
      </x:c>
      <x:c r="H16" s="79" t="n">
        <x:v>0.19154381084840055</x:v>
      </x:c>
      <x:c r="I16" s="79" t="n">
        <x:v>101</x:v>
      </x:c>
      <x:c r="J16" s="80" t="n">
        <x:v>121504.46770833334</x:v>
      </x:c>
      <x:c r="K16" s="74" t="n">
        <x:v>3.0018458333333333</x:v>
      </x:c>
      <x:c r="L16" s="74" t="n">
        <x:v>34</x:v>
      </x:c>
      <x:c r="M16" s="74" t="n">
        <x:v>0.8868477276739731</x:v>
      </x:c>
      <x:c r="N16" s="80" t="n">
        <x:v>0.5048755501867074</x:v>
      </x:c>
    </x:row>
    <x:row r="17" ht="15" hidden="0" customHeight="1">
      <x:c r="A17" s="74" t="str">
        <x:v>2023-12</x:v>
      </x:c>
      <x:c r="B17" s="74" t="n">
        <x:v>16824.02</x:v>
      </x:c>
      <x:c r="C17" s="74" t="n">
        <x:v>14977</x:v>
      </x:c>
      <x:c r="D17" s="74" t="n">
        <x:v>1847.02</x:v>
      </x:c>
      <x:c r="E17" s="79" t="n">
        <x:v>22902876.8</x:v>
      </x:c>
      <x:c r="F17" s="79" t="n">
        <x:v>12607749.09</x:v>
      </x:c>
      <x:c r="G17" s="79" t="n">
        <x:v>3287673.2</x:v>
      </x:c>
      <x:c r="H17" s="79" t="n">
        <x:v>0.11916666666666666</x:v>
      </x:c>
      <x:c r="I17" s="79" t="n">
        <x:v>81</x:v>
      </x:c>
      <x:c r="J17" s="80" t="n">
        <x:v>150860.3878333333</x:v>
      </x:c>
      <x:c r="K17" s="74" t="n">
        <x:v>3.7750041666666667</x:v>
      </x:c>
      <x:c r="L17" s="74" t="n">
        <x:v>27</x:v>
      </x:c>
      <x:c r="M17" s="74" t="n">
        <x:v>0.8902152993160969</x:v>
      </x:c>
      <x:c r="N17" s="80" t="n">
        <x:v>0.5504875741199463</x:v>
      </x:c>
    </x:row>
    <x:row r="18" ht="15" hidden="0" customHeight="1">
      <x:c r="A18" s="74" t="str">
        <x:v>2024-01</x:v>
      </x:c>
      <x:c r="B18" s="74" t="n">
        <x:v>17843.01</x:v>
      </x:c>
      <x:c r="C18" s="74" t="n">
        <x:v>16306</x:v>
      </x:c>
      <x:c r="D18" s="74" t="n">
        <x:v>1537.01</x:v>
      </x:c>
      <x:c r="E18" s="79" t="n">
        <x:v>26666321</x:v>
      </x:c>
      <x:c r="F18" s="79" t="n">
        <x:v>15462582.75</x:v>
      </x:c>
      <x:c r="G18" s="79" t="n">
        <x:v>1808599</x:v>
      </x:c>
      <x:c r="H18" s="79" t="n">
        <x:v>0.05733333333333333</x:v>
      </x:c>
      <x:c r="I18" s="79" t="n">
        <x:v>102</x:v>
      </x:c>
      <x:c r="J18" s="80" t="n">
        <x:v>160321.45746666667</x:v>
      </x:c>
      <x:c r="K18" s="74" t="n">
        <x:v>3.8564433333333334</x:v>
      </x:c>
      <x:c r="L18" s="74" t="n">
        <x:v>34</x:v>
      </x:c>
      <x:c r="M18" s="74" t="n">
        <x:v>0.9138592647765148</x:v>
      </x:c>
      <x:c r="N18" s="80" t="n">
        <x:v>0.5798543694872644</x:v>
      </x:c>
    </x:row>
    <x:row r="19" ht="15" hidden="0" customHeight="1">
      <x:c r="A19" s="74" t="str">
        <x:v>2024-02</x:v>
      </x:c>
      <x:c r="B19" s="74" t="n">
        <x:v>13302</x:v>
      </x:c>
      <x:c r="C19" s="74" t="n">
        <x:v>12670</x:v>
      </x:c>
      <x:c r="D19" s="74" t="n">
        <x:v>632</x:v>
      </x:c>
      <x:c r="E19" s="79" t="n">
        <x:v>22030535.8</x:v>
      </x:c>
      <x:c r="F19" s="79" t="n">
        <x:v>13339587.26</x:v>
      </x:c>
      <x:c r="G19" s="79" t="n">
        <x:v>129384.2</x:v>
      </x:c>
      <x:c r="H19" s="79" t="n">
        <x:v>0.006666666666666666</x:v>
      </x:c>
      <x:c r="I19" s="79" t="n">
        <x:v>42</x:v>
      </x:c>
      <x:c r="J19" s="80" t="n">
        <x:v>154864.91504166665</x:v>
      </x:c>
      <x:c r="K19" s="74" t="n">
        <x:v>3.747020833333333</x:v>
      </x:c>
      <x:c r="L19" s="74" t="n">
        <x:v>14</x:v>
      </x:c>
      <x:c r="M19" s="74" t="n">
        <x:v>0.9524883476168997</x:v>
      </x:c>
      <x:c r="N19" s="80" t="n">
        <x:v>0.6055044407953074</x:v>
      </x:c>
    </x:row>
    <x:row r="20" ht="15" hidden="0" customHeight="1">
      <x:c r="A20" s="74" t="str">
        <x:v>2024-03</x:v>
      </x:c>
      <x:c r="B20" s="74" t="n">
        <x:v>15062.01</x:v>
      </x:c>
      <x:c r="C20" s="74" t="n">
        <x:v>14262</x:v>
      </x:c>
      <x:c r="D20" s="74" t="n">
        <x:v>800.01</x:v>
      </x:c>
      <x:c r="E20" s="79" t="n">
        <x:v>23272860.4</x:v>
      </x:c>
      <x:c r="F20" s="79" t="n">
        <x:v>13486909.42</x:v>
      </x:c>
      <x:c r="G20" s="79" t="n">
        <x:v>1773059.6</x:v>
      </x:c>
      <x:c r="H20" s="79" t="n">
        <x:v>0.06675938803894298</x:v>
      </x:c>
      <x:c r="I20" s="79" t="n">
        <x:v>53</x:v>
      </x:c>
      <x:c r="J20" s="80" t="n">
        <x:v>163648.51679166668</x:v>
      </x:c>
      <x:c r="K20" s="74" t="n">
        <x:v>3.9361166666666665</x:v>
      </x:c>
      <x:c r="L20" s="74" t="n">
        <x:v>18</x:v>
      </x:c>
      <x:c r="M20" s="74" t="n">
        <x:v>0.9468855750328143</x:v>
      </x:c>
      <x:c r="N20" s="80" t="n">
        <x:v>0.5795123241490333</x:v>
      </x:c>
    </x:row>
    <x:row r="21" ht="15" hidden="0" customHeight="1">
      <x:c r="A21" s="74" t="str">
        <x:v>2024-04</x:v>
      </x:c>
      <x:c r="B21" s="74" t="n">
        <x:v>17502.98</x:v>
      </x:c>
      <x:c r="C21" s="74" t="n">
        <x:v>16291</x:v>
      </x:c>
      <x:c r="D21" s="74" t="n">
        <x:v>1211.98</x:v>
      </x:c>
      <x:c r="E21" s="79" t="n">
        <x:v>28271612.8</x:v>
      </x:c>
      <x:c r="F21" s="79" t="n">
        <x:v>17191776.23</x:v>
      </x:c>
      <x:c r="G21" s="79" t="n">
        <x:v>165587.2</x:v>
      </x:c>
      <x:c r="H21" s="79" t="n">
        <x:v>0.006666666666666667</x:v>
      </x:c>
      <x:c r="I21" s="79" t="n">
        <x:v>81</x:v>
      </x:c>
      <x:c r="J21" s="80" t="n">
        <x:v>142633.2484</x:v>
      </x:c>
      <x:c r="K21" s="74" t="n">
        <x:v>3.574196666666667</x:v>
      </x:c>
      <x:c r="L21" s="74" t="n">
        <x:v>27</x:v>
      </x:c>
      <x:c r="M21" s="74" t="n">
        <x:v>0.9307557912995388</x:v>
      </x:c>
      <x:c r="N21" s="80" t="n">
        <x:v>0.6080932259372199</x:v>
      </x:c>
    </x:row>
    <x:row r="22" ht="15" hidden="0" customHeight="1">
      <x:c r="A22" s="74" t="str">
        <x:v>2024-05</x:v>
      </x:c>
      <x:c r="B22" s="74" t="n">
        <x:v>14556.97</x:v>
      </x:c>
      <x:c r="C22" s="74" t="n">
        <x:v>12917</x:v>
      </x:c>
      <x:c r="D22" s="74" t="n">
        <x:v>1639.97</x:v>
      </x:c>
      <x:c r="E22" s="79" t="n">
        <x:v>22496532.2</x:v>
      </x:c>
      <x:c r="F22" s="79" t="n">
        <x:v>13686633.61</x:v>
      </x:c>
      <x:c r="G22" s="79" t="n">
        <x:v>132087.8</x:v>
      </x:c>
      <x:c r="H22" s="79" t="n">
        <x:v>0.006694677871148459</x:v>
      </x:c>
      <x:c r="I22" s="79" t="n">
        <x:v>92</x:v>
      </x:c>
      <x:c r="J22" s="80" t="n">
        <x:v>142610.24433333334</x:v>
      </x:c>
      <x:c r="K22" s="74" t="n">
        <x:v>3.5723208333333334</x:v>
      </x:c>
      <x:c r="L22" s="74" t="n">
        <x:v>31</x:v>
      </x:c>
      <x:c r="M22" s="74" t="n">
        <x:v>0.8873412530217484</x:v>
      </x:c>
      <x:c r="N22" s="80" t="n">
        <x:v>0.6083885946652702</x:v>
      </x:c>
    </x:row>
    <x:row r="23" ht="15" hidden="0" customHeight="1">
      <x:c r="A23" s="74" t="str">
        <x:v>2024-06</x:v>
      </x:c>
      <x:c r="B23" s="74" t="n">
        <x:v>15853.02</x:v>
      </x:c>
      <x:c r="C23" s="74" t="n">
        <x:v>13588</x:v>
      </x:c>
      <x:c r="D23" s="74" t="n">
        <x:v>2265.02</x:v>
      </x:c>
      <x:c r="E23" s="79" t="n">
        <x:v>21954417.6</x:v>
      </x:c>
      <x:c r="F23" s="79" t="n">
        <x:v>12931805.02</x:v>
      </x:c>
      <x:c r="G23" s="79" t="n">
        <x:v>1339982.4</x:v>
      </x:c>
      <x:c r="H23" s="79" t="n">
        <x:v>0.04322670375521558</x:v>
      </x:c>
      <x:c r="I23" s="79" t="n">
        <x:v>105</x:v>
      </x:c>
      <x:c r="J23" s="80" t="n">
        <x:v>130636.78966666666</x:v>
      </x:c>
      <x:c r="K23" s="74" t="n">
        <x:v>3.3868375</x:v>
      </x:c>
      <x:c r="L23" s="74" t="n">
        <x:v>35</x:v>
      </x:c>
      <x:c r="M23" s="74" t="n">
        <x:v>0.8571237530767009</x:v>
      </x:c>
      <x:c r="N23" s="80" t="n">
        <x:v>0.5890297458858575</x:v>
      </x:c>
    </x:row>
    <x:row r="24" ht="15" hidden="0" customHeight="1">
      <x:c r="A24" s="74" t="str">
        <x:v>2024-07</x:v>
      </x:c>
      <x:c r="B24" s="74" t="n">
        <x:v>20346</x:v>
      </x:c>
      <x:c r="C24" s="74" t="n">
        <x:v>16902</x:v>
      </x:c>
      <x:c r="D24" s="74" t="n">
        <x:v>3444</x:v>
      </x:c>
      <x:c r="E24" s="79" t="n">
        <x:v>26825370.4</x:v>
      </x:c>
      <x:c r="F24" s="79" t="n">
        <x:v>15523613.41</x:v>
      </x:c>
      <x:c r="G24" s="79" t="n">
        <x:v>2387509.6</x:v>
      </x:c>
      <x:c r="H24" s="79" t="n">
        <x:v>0.06533482142857143</x:v>
      </x:c>
      <x:c r="I24" s="79" t="n">
        <x:v>145</x:v>
      </x:c>
      <x:c r="J24" s="80" t="n">
        <x:v>134989.2518</x:v>
      </x:c>
      <x:c r="K24" s="74" t="n">
        <x:v>3.3665333333333334</x:v>
      </x:c>
      <x:c r="L24" s="74" t="n">
        <x:v>49</x:v>
      </x:c>
      <x:c r="M24" s="74" t="n">
        <x:v>0.8307283987024476</x:v>
      </x:c>
      <x:c r="N24" s="80" t="n">
        <x:v>0.5786914841630668</x:v>
      </x:c>
    </x:row>
    <x:row r="25" ht="15" hidden="0" customHeight="1">
      <x:c r="A25" s="74" t="str">
        <x:v>2024-08</x:v>
      </x:c>
      <x:c r="B25" s="74" t="n">
        <x:v>14805.02</x:v>
      </x:c>
      <x:c r="C25" s="74" t="n">
        <x:v>12444</x:v>
      </x:c>
      <x:c r="D25" s="74" t="n">
        <x:v>2361.02</x:v>
      </x:c>
      <x:c r="E25" s="79" t="n">
        <x:v>21141028.4</x:v>
      </x:c>
      <x:c r="F25" s="79" t="n">
        <x:v>12903139.7</x:v>
      </x:c>
      <x:c r="G25" s="79" t="n">
        <x:v>126111.6</x:v>
      </x:c>
      <x:c r="H25" s="79" t="n">
        <x:v>0.006675938803894298</x:v>
      </x:c>
      <x:c r="I25" s="79" t="n">
        <x:v>120</x:v>
      </x:c>
      <x:c r="J25" s="80" t="n">
        <x:v>131556.84991666666</x:v>
      </x:c>
      <x:c r="K25" s="74" t="n">
        <x:v>3.241625</x:v>
      </x:c>
      <x:c r="L25" s="74" t="n">
        <x:v>40</x:v>
      </x:c>
      <x:c r="M25" s="74" t="n">
        <x:v>0.8405257135755304</x:v>
      </x:c>
      <x:c r="N25" s="80" t="n">
        <x:v>0.6103364252611287</x:v>
      </x:c>
    </x:row>
    <x:row r="26" ht="15" hidden="0" customHeight="1">
      <x:c r="A26" s="74" t="str">
        <x:v>2024-09</x:v>
      </x:c>
      <x:c r="B26" s="74" t="n">
        <x:v>19920.01</x:v>
      </x:c>
      <x:c r="C26" s="74" t="n">
        <x:v>16929</x:v>
      </x:c>
      <x:c r="D26" s="74" t="n">
        <x:v>2991.01</x:v>
      </x:c>
      <x:c r="E26" s="79" t="n">
        <x:v>27765102.2</x:v>
      </x:c>
      <x:c r="F26" s="79" t="n">
        <x:v>16395063.39</x:v>
      </x:c>
      <x:c r="G26" s="79" t="n">
        <x:v>1451257.8</x:v>
      </x:c>
      <x:c r="H26" s="79" t="n">
        <x:v>0.046585094549499446</x:v>
      </x:c>
      <x:c r="I26" s="79" t="n">
        <x:v>146</x:v>
      </x:c>
      <x:c r="J26" s="80" t="n">
        <x:v>133496.55743333334</x:v>
      </x:c>
      <x:c r="K26" s="74" t="n">
        <x:v>3.3435966666666666</x:v>
      </x:c>
      <x:c r="L26" s="74" t="n">
        <x:v>49</x:v>
      </x:c>
      <x:c r="M26" s="74" t="n">
        <x:v>0.849848970959352</x:v>
      </x:c>
      <x:c r="N26" s="80" t="n">
        <x:v>0.5904917357012286</x:v>
      </x:c>
    </x:row>
    <x:row r="27" ht="15" hidden="0" customHeight="1">
      <x:c r="A27" s="74" t="str">
        <x:v>2024-10</x:v>
      </x:c>
      <x:c r="B27" s="74" t="n">
        <x:v>14871</x:v>
      </x:c>
      <x:c r="C27" s="74" t="n">
        <x:v>12729</x:v>
      </x:c>
      <x:c r="D27" s="74" t="n">
        <x:v>2142</x:v>
      </x:c>
      <x:c r="E27" s="79" t="n">
        <x:v>21863681.2</x:v>
      </x:c>
      <x:c r="F27" s="79" t="n">
        <x:v>13248320.18</x:v>
      </x:c>
      <x:c r="G27" s="79" t="n">
        <x:v>128018.8</x:v>
      </x:c>
      <x:c r="H27" s="79" t="n">
        <x:v>0.006666666666666666</x:v>
      </x:c>
      <x:c r="I27" s="79" t="n">
        <x:v>114</x:v>
      </x:c>
      <x:c r="J27" s="80" t="n">
        <x:v>122716.42158333333</x:v>
      </x:c>
      <x:c r="K27" s="74" t="n">
        <x:v>2.97835</x:v>
      </x:c>
      <x:c r="L27" s="74" t="n">
        <x:v>38</x:v>
      </x:c>
      <x:c r="M27" s="74" t="n">
        <x:v>0.8559612668952996</x:v>
      </x:c>
      <x:c r="N27" s="80" t="n">
        <x:v>0.6059510317045786</x:v>
      </x:c>
    </x:row>
    <x:row r="28" ht="15" hidden="0" customHeight="1">
      <x:c r="A28" s="74" t="str">
        <x:v>2024-11</x:v>
      </x:c>
      <x:c r="B28" s="74" t="n">
        <x:v>23400.98</x:v>
      </x:c>
      <x:c r="C28" s="74" t="n">
        <x:v>18821</x:v>
      </x:c>
      <x:c r="D28" s="74" t="n">
        <x:v>4579.98</x:v>
      </x:c>
      <x:c r="E28" s="79" t="n">
        <x:v>24960836.6</x:v>
      </x:c>
      <x:c r="F28" s="79" t="n">
        <x:v>12548139.75</x:v>
      </x:c>
      <x:c r="G28" s="79" t="n">
        <x:v>6835543.4</x:v>
      </x:c>
      <x:c r="H28" s="79" t="n">
        <x:v>0.19165969316596934</x:v>
      </x:c>
      <x:c r="I28" s="79" t="n">
        <x:v>168</x:v>
      </x:c>
      <x:c r="J28" s="80" t="n">
        <x:v>112998.21725</x:v>
      </x:c>
      <x:c r="K28" s="74" t="n">
        <x:v>2.5204166666666667</x:v>
      </x:c>
      <x:c r="L28" s="74" t="n">
        <x:v>57</x:v>
      </x:c>
      <x:c r="M28" s="74" t="n">
        <x:v>0.8042825556878387</x:v>
      </x:c>
      <x:c r="N28" s="80" t="n">
        <x:v>0.5027131081816384</x:v>
      </x:c>
    </x:row>
    <x:row r="29" ht="15" hidden="0" customHeight="1">
      <x:c r="A29" s="74" t="str">
        <x:v>2024-12</x:v>
      </x:c>
      <x:c r="B29" s="74" t="n">
        <x:v>22522.99</x:v>
      </x:c>
      <x:c r="C29" s="74" t="n">
        <x:v>17374</x:v>
      </x:c>
      <x:c r="D29" s="74" t="n">
        <x:v>5148.99</x:v>
      </x:c>
      <x:c r="E29" s="79" t="n">
        <x:v>26137949.7</x:v>
      </x:c>
      <x:c r="F29" s="79" t="n">
        <x:v>14763345.6</x:v>
      </x:c>
      <x:c r="G29" s="79" t="n">
        <x:v>3027180.3</x:v>
      </x:c>
      <x:c r="H29" s="79" t="n">
        <x:v>0.09666666666666666</x:v>
      </x:c>
      <x:c r="I29" s="79" t="n">
        <x:v>228</x:v>
      </x:c>
      <x:c r="J29" s="80" t="n">
        <x:v>121773.11836666666</x:v>
      </x:c>
      <x:c r="K29" s="74" t="n">
        <x:v>2.74844</x:v>
      </x:c>
      <x:c r="L29" s="74" t="n">
        <x:v>76</x:v>
      </x:c>
      <x:c r="M29" s="74" t="n">
        <x:v>0.7713895890376898</x:v>
      </x:c>
      <x:c r="N29" s="80" t="n">
        <x:v>0.5648241644599997</x:v>
      </x:c>
    </x:row>
    <x:row r="30" ht="15" hidden="0" customHeight="1">
      <x:c r="A30" s="74" t="str">
        <x:v>2025-01</x:v>
      </x:c>
      <x:c r="B30" s="74" t="n">
        <x:v>16688.99</x:v>
      </x:c>
      <x:c r="C30" s="74" t="n">
        <x:v>12805</x:v>
      </x:c>
      <x:c r="D30" s="74" t="n">
        <x:v>3883.99</x:v>
      </x:c>
      <x:c r="E30" s="79" t="n">
        <x:v>20839552</x:v>
      </x:c>
      <x:c r="F30" s="79" t="n">
        <x:v>11941285.81</x:v>
      </x:c>
      <x:c r="G30" s="79" t="n">
        <x:v>1697528</x:v>
      </x:c>
      <x:c r="H30" s="79" t="n">
        <x:v>0.06999999999999999</x:v>
      </x:c>
      <x:c r="I30" s="79" t="n">
        <x:v>180</x:v>
      </x:c>
      <x:c r="J30" s="80" t="n">
        <x:v>124971.77225</x:v>
      </x:c>
      <x:c r="K30" s="74" t="n">
        <x:v>2.8578791666666663</x:v>
      </x:c>
      <x:c r="L30" s="74" t="n">
        <x:v>60</x:v>
      </x:c>
      <x:c r="M30" s="74" t="n">
        <x:v>0.7672723154606719</x:v>
      </x:c>
      <x:c r="N30" s="80" t="n">
        <x:v>0.5730106774848135</x:v>
      </x:c>
    </x:row>
    <x:row r="31" ht="15" hidden="0" customHeight="1">
      <x:c r="A31" s="74" t="str">
        <x:v>2025-02</x:v>
      </x:c>
      <x:c r="B31" s="74" t="n">
        <x:v>15317.98</x:v>
      </x:c>
      <x:c r="C31" s="74" t="n">
        <x:v>12623</x:v>
      </x:c>
      <x:c r="D31" s="74" t="n">
        <x:v>2694.98</x:v>
      </x:c>
      <x:c r="E31" s="79" t="n">
        <x:v>22055447.6</x:v>
      </x:c>
      <x:c r="F31" s="79" t="n">
        <x:v>13331233.98</x:v>
      </x:c>
      <x:c r="G31" s="79" t="n">
        <x:v>126082.4</x:v>
      </x:c>
      <x:c r="H31" s="79" t="n">
        <x:v>0.006666666666666666</x:v>
      </x:c>
      <x:c r="I31" s="79" t="n">
        <x:v>129</x:v>
      </x:c>
      <x:c r="J31" s="80" t="n">
        <x:v>127807.393125</x:v>
      </x:c>
      <x:c r="K31" s="74" t="n">
        <x:v>2.8024625</x:v>
      </x:c>
      <x:c r="L31" s="74" t="n">
        <x:v>43</x:v>
      </x:c>
      <x:c r="M31" s="74" t="n">
        <x:v>0.824064269570792</x:v>
      </x:c>
      <x:c r="N31" s="80" t="n">
        <x:v>0.6044417788193063</x:v>
      </x:c>
    </x:row>
    <x:row r="32" ht="15" hidden="0" customHeight="1">
      <x:c r="A32" s="74" t="str">
        <x:v>2025-03</x:v>
      </x:c>
      <x:c r="B32" s="74" t="n">
        <x:v>21810.99</x:v>
      </x:c>
      <x:c r="C32" s="74" t="n">
        <x:v>17816</x:v>
      </x:c>
      <x:c r="D32" s="74" t="n">
        <x:v>3994.99</x:v>
      </x:c>
      <x:c r="E32" s="79" t="n">
        <x:v>28766428.8</x:v>
      </x:c>
      <x:c r="F32" s="79" t="n">
        <x:v>16491323.62</x:v>
      </x:c>
      <x:c r="G32" s="79" t="n">
        <x:v>2578861.2</x:v>
      </x:c>
      <x:c r="H32" s="79" t="n">
        <x:v>0.07862068965517242</x:v>
      </x:c>
      <x:c r="I32" s="79" t="n">
        <x:v>170</x:v>
      </x:c>
      <x:c r="J32" s="80" t="n">
        <x:v>125906.30616666668</x:v>
      </x:c>
      <x:c r="K32" s="74" t="n">
        <x:v>2.8675466666666667</x:v>
      </x:c>
      <x:c r="L32" s="74" t="n">
        <x:v>57</x:v>
      </x:c>
      <x:c r="M32" s="74" t="n">
        <x:v>0.8168359162055459</x:v>
      </x:c>
      <x:c r="N32" s="80" t="n">
        <x:v>0.573283661126542</x:v>
      </x:c>
    </x:row>
    <x:row r="33" ht="15" hidden="0" customHeight="1">
      <x:c r="A33" s="74" t="str">
        <x:v>2025-04</x:v>
      </x:c>
      <x:c r="B33" s="74" t="n">
        <x:v>15782.01</x:v>
      </x:c>
      <x:c r="C33" s="74" t="n">
        <x:v>12883</x:v>
      </x:c>
      <x:c r="D33" s="74" t="n">
        <x:v>2899.01</x:v>
      </x:c>
      <x:c r="E33" s="79" t="n">
        <x:v>22483145.4</x:v>
      </x:c>
      <x:c r="F33" s="79" t="n">
        <x:v>13660658.42</x:v>
      </x:c>
      <x:c r="G33" s="79" t="n">
        <x:v>127634.6</x:v>
      </x:c>
      <x:c r="H33" s="79" t="n">
        <x:v>0.006666666666666666</x:v>
      </x:c>
      <x:c r="I33" s="79" t="n">
        <x:v>144</x:v>
      </x:c>
      <x:c r="J33" s="80" t="n">
        <x:v>125062.798</x:v>
      </x:c>
      <x:c r="K33" s="74" t="n">
        <x:v>2.915766666666667</x:v>
      </x:c>
      <x:c r="L33" s="74" t="n">
        <x:v>48</x:v>
      </x:c>
      <x:c r="M33" s="74" t="n">
        <x:v>0.8163092026934465</x:v>
      </x:c>
      <x:c r="N33" s="80" t="n">
        <x:v>0.6075955199755991</x:v>
      </x:c>
    </x:row>
    <x:row r="34" ht="15" hidden="0" customHeight="1">
      <x:c r="A34" s="74" t="str">
        <x:v>2025-05</x:v>
      </x:c>
      <x:c r="B34" s="74" t="n">
        <x:v>15823.02</x:v>
      </x:c>
      <x:c r="C34" s="74" t="n">
        <x:v>12750</x:v>
      </x:c>
      <x:c r="D34" s="74" t="n">
        <x:v>3073.02</x:v>
      </x:c>
      <x:c r="E34" s="79" t="n">
        <x:v>22465750.8</x:v>
      </x:c>
      <x:c r="F34" s="79" t="n">
        <x:v>13704808.42</x:v>
      </x:c>
      <x:c r="G34" s="79" t="n">
        <x:v>132169.2</x:v>
      </x:c>
      <x:c r="H34" s="79" t="n">
        <x:v>0.006685236768802228</x:v>
      </x:c>
      <x:c r="I34" s="79" t="n">
        <x:v>132</x:v>
      </x:c>
      <x:c r="J34" s="80" t="n">
        <x:v>123158.81995833333</x:v>
      </x:c>
      <x:c r="K34" s="74" t="n">
        <x:v>2.7643666666666666</x:v>
      </x:c>
      <x:c r="L34" s="74" t="n">
        <x:v>44</x:v>
      </x:c>
      <x:c r="M34" s="74" t="n">
        <x:v>0.8057880227668296</x:v>
      </x:c>
      <x:c r="N34" s="80" t="n">
        <x:v>0.6100311777694961</x:v>
      </x:c>
    </x:row>
    <x:row r="35" ht="15" hidden="0" customHeight="1">
      <x:c r="A35" s="74" t="str">
        <x:v>2025-06</x:v>
      </x:c>
      <x:c r="B35" s="74" t="n">
        <x:v>21352</x:v>
      </x:c>
      <x:c r="C35" s="74" t="n">
        <x:v>16948</x:v>
      </x:c>
      <x:c r="D35" s="74" t="n">
        <x:v>4404</x:v>
      </x:c>
      <x:c r="E35" s="79" t="n">
        <x:v>27659127</x:v>
      </x:c>
      <x:c r="F35" s="79" t="n">
        <x:v>16062221.77</x:v>
      </x:c>
      <x:c r="G35" s="79" t="n">
        <x:v>2338613</x:v>
      </x:c>
      <x:c r="H35" s="79" t="n">
        <x:v>0.06533333333333334</x:v>
      </x:c>
      <x:c r="I35" s="79" t="n">
        <x:v>183</x:v>
      </x:c>
      <x:c r="J35" s="80" t="n">
        <x:v>131776.9002</x:v>
      </x:c>
      <x:c r="K35" s="74" t="n">
        <x:v>3.07248</x:v>
      </x:c>
      <x:c r="L35" s="74" t="n">
        <x:v>61</x:v>
      </x:c>
      <x:c r="M35" s="74" t="n">
        <x:v>0.7937429748969651</x:v>
      </x:c>
      <x:c r="N35" s="80" t="n">
        <x:v>0.580720489478934</x:v>
      </x:c>
    </x:row>
    <x:row r="36" ht="15" hidden="0" customHeight="1">
      <x:c r="A36" s="74" t="str">
        <x:v>2025-07</x:v>
      </x:c>
      <x:c r="B36" s="74" t="n">
        <x:v>16529.96</x:v>
      </x:c>
      <x:c r="C36" s="74" t="n">
        <x:v>12363</x:v>
      </x:c>
      <x:c r="D36" s="74" t="n">
        <x:v>4166.96</x:v>
      </x:c>
      <x:c r="E36" s="79" t="n">
        <x:v>20182863.2</x:v>
      </x:c>
      <x:c r="F36" s="79" t="n">
        <x:v>11950329.58</x:v>
      </x:c>
      <x:c r="G36" s="79" t="n">
        <x:v>1041666.8</x:v>
      </x:c>
      <x:c r="H36" s="79" t="n">
        <x:v>0.04339360222531293</x:v>
      </x:c>
      <x:c r="I36" s="79" t="n">
        <x:v>165</x:v>
      </x:c>
      <x:c r="J36" s="80" t="n">
        <x:v>117580.614625</x:v>
      </x:c>
      <x:c r="K36" s="74" t="n">
        <x:v>2.6574625000000003</x:v>
      </x:c>
      <x:c r="L36" s="74" t="n">
        <x:v>55</x:v>
      </x:c>
      <x:c r="M36" s="74" t="n">
        <x:v>0.7479146954983558</x:v>
      </x:c>
      <x:c r="N36" s="80" t="n">
        <x:v>0.5921027884685856</x:v>
      </x:c>
    </x:row>
    <x:row r="37" ht="15" hidden="0" customHeight="1">
      <x:c r="A37" s="74" t="str">
        <x:v>2025-08</x:v>
      </x:c>
      <x:c r="B37" s="74" t="n">
        <x:v>15505</x:v>
      </x:c>
      <x:c r="C37" s="74" t="n">
        <x:v>12671</x:v>
      </x:c>
      <x:c r="D37" s="74" t="n">
        <x:v>2834</x:v>
      </x:c>
      <x:c r="E37" s="79" t="n">
        <x:v>22554720.4</x:v>
      </x:c>
      <x:c r="F37" s="79" t="n">
        <x:v>13736869.92</x:v>
      </x:c>
      <x:c r="G37" s="79" t="n">
        <x:v>131889.6</x:v>
      </x:c>
      <x:c r="H37" s="79" t="n">
        <x:v>0.006666666666666666</x:v>
      </x:c>
      <x:c r="I37" s="79" t="n">
        <x:v>117</x:v>
      </x:c>
      <x:c r="J37" s="80" t="n">
        <x:v>130035.05333333333</x:v>
      </x:c>
      <x:c r="K37" s="74" t="n">
        <x:v>3.0464125</x:v>
      </x:c>
      <x:c r="L37" s="74" t="n">
        <x:v>39</x:v>
      </x:c>
      <x:c r="M37" s="74" t="n">
        <x:v>0.8172202515317639</x:v>
      </x:c>
      <x:c r="N37" s="80" t="n">
        <x:v>0.6090463404724805</x:v>
      </x:c>
    </x:row>
    <x:row r="38" ht="15" hidden="0" customHeight="1">
      <x:c r="A38" s="74" t="str">
        <x:v>2025-09</x:v>
      </x:c>
      <x:c r="B38" s="74" t="n">
        <x:v>21154.97</x:v>
      </x:c>
      <x:c r="C38" s="74" t="n">
        <x:v>17187</x:v>
      </x:c>
      <x:c r="D38" s="74" t="n">
        <x:v>3967.97</x:v>
      </x:c>
      <x:c r="E38" s="79" t="n">
        <x:v>28666390.4</x:v>
      </x:c>
      <x:c r="F38" s="79" t="n">
        <x:v>16948521.09</x:v>
      </x:c>
      <x:c r="G38" s="79" t="n">
        <x:v>1475529.6</x:v>
      </x:c>
      <x:c r="H38" s="79" t="n">
        <x:v>0.04665178571428571</x:v>
      </x:c>
      <x:c r="I38" s="79" t="n">
        <x:v>186</x:v>
      </x:c>
      <x:c r="J38" s="80" t="n">
        <x:v>123653.41366666667</x:v>
      </x:c>
      <x:c r="K38" s="74" t="n">
        <x:v>2.6570366666666665</x:v>
      </x:c>
      <x:c r="L38" s="74" t="n">
        <x:v>62</x:v>
      </x:c>
      <x:c r="M38" s="74" t="n">
        <x:v>0.8124332012761067</x:v>
      </x:c>
      <x:c r="N38" s="80" t="n">
        <x:v>0.5912331777216011</x:v>
      </x:c>
    </x:row>
    <x:row r="39" ht="15" hidden="0" customHeight="1">
      <x:c r="A39" s="74" t="str">
        <x:v>2025-10</x:v>
      </x:c>
      <x:c r="B39" s="74" t="n">
        <x:v>15728.01</x:v>
      </x:c>
      <x:c r="C39" s="74" t="n">
        <x:v>13073</x:v>
      </x:c>
      <x:c r="D39" s="74" t="n">
        <x:v>2655.0099999999998</x:v>
      </x:c>
      <x:c r="E39" s="79" t="n">
        <x:v>22854291</x:v>
      </x:c>
      <x:c r="F39" s="79" t="n">
        <x:v>13846506.36</x:v>
      </x:c>
      <x:c r="G39" s="79" t="n">
        <x:v>133909</x:v>
      </x:c>
      <x:c r="H39" s="79" t="n">
        <x:v>0.006666666666666666</x:v>
      </x:c>
      <x:c r="I39" s="79" t="n">
        <x:v>123</x:v>
      </x:c>
      <x:c r="J39" s="80" t="n">
        <x:v>122271.72220833333</x:v>
      </x:c>
      <x:c r="K39" s="74" t="n">
        <x:v>2.6914833333333332</x:v>
      </x:c>
      <x:c r="L39" s="74" t="n">
        <x:v>41</x:v>
      </x:c>
      <x:c r="M39" s="74" t="n">
        <x:v>0.8311922487333108</x:v>
      </x:c>
      <x:c r="N39" s="80" t="n">
        <x:v>0.6058602456755277</x:v>
      </x:c>
    </x:row>
    <x:row r="40" ht="15" hidden="0" customHeight="1">
      <x:c r="A40" s="74" t="str">
        <x:v>2025-11</x:v>
      </x:c>
      <x:c r="B40" s="74" t="n">
        <x:v>25930.01</x:v>
      </x:c>
      <x:c r="C40" s="74" t="n">
        <x:v>19582</x:v>
      </x:c>
      <x:c r="D40" s="74" t="n">
        <x:v>6348.01</x:v>
      </x:c>
      <x:c r="E40" s="79" t="n">
        <x:v>26242703.4</x:v>
      </x:c>
      <x:c r="F40" s="79" t="n">
        <x:v>13185081.4</x:v>
      </x:c>
      <x:c r="G40" s="79" t="n">
        <x:v>7158616.6</x:v>
      </x:c>
      <x:c r="H40" s="79" t="n">
        <x:v>0.1911173184357542</x:v>
      </x:c>
      <x:c r="I40" s="79" t="n">
        <x:v>197</x:v>
      </x:c>
      <x:c r="J40" s="80" t="n">
        <x:v>99324.634375</x:v>
      </x:c>
      <x:c r="K40" s="74" t="n">
        <x:v>2.0583</x:v>
      </x:c>
      <x:c r="L40" s="74" t="n">
        <x:v>67</x:v>
      </x:c>
      <x:c r="M40" s="74" t="n">
        <x:v>0.7551867507956997</x:v>
      </x:c>
      <x:c r="N40" s="80" t="n">
        <x:v>0.5024284731275056</x:v>
      </x:c>
    </x:row>
    <x:row r="41" ht="15" hidden="0" customHeight="1">
      <x:c r="A41" s="74" t="str">
        <x:v>2025-12</x:v>
      </x:c>
      <x:c r="B41" s="74" t="n">
        <x:v>25831.97</x:v>
      </x:c>
      <x:c r="C41" s="74" t="n">
        <x:v>19302</x:v>
      </x:c>
      <x:c r="D41" s="74" t="n">
        <x:v>6529.97</x:v>
      </x:c>
      <x:c r="E41" s="79" t="n">
        <x:v>29902337.2</x:v>
      </x:c>
      <x:c r="F41" s="79" t="n">
        <x:v>16843510.84</x:v>
      </x:c>
      <x:c r="G41" s="79" t="n">
        <x:v>3414282.8</x:v>
      </x:c>
      <x:c r="H41" s="79" t="n">
        <x:v>0.09690848214285715</x:v>
      </x:c>
      <x:c r="I41" s="79" t="n">
        <x:v>261</x:v>
      </x:c>
      <x:c r="J41" s="80" t="n">
        <x:v>128591.13979999999</x:v>
      </x:c>
      <x:c r="K41" s="74" t="n">
        <x:v>2.6812766666666668</x:v>
      </x:c>
      <x:c r="L41" s="74" t="n">
        <x:v>88</x:v>
      </x:c>
      <x:c r="M41" s="74" t="n">
        <x:v>0.747213627144968</x:v>
      </x:c>
      <x:c r="N41" s="80" t="n">
        <x:v>0.5632840913853383</x:v>
      </x:c>
    </x:row>
  </x:sheetData>
  <x:mergeCells>
    <x:mergeCell ref="A1:M2"/>
    <x:mergeCell ref="A3:M3"/>
  </x:mergeCells>
  <x:pageMargins left="0.7" right="0.7" top="0.75" bottom="0.75" header="0.3" footer="0.3"/>
  <x:drawing xmlns:r="http://schemas.openxmlformats.org/officeDocument/2006/relationships" r:id="Rb49c3411e8fc465a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25" customHeight="1">
      <x:c r="A1" s="68" t="str">
        <x:v>Product Portfolio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</x:row>
    <x:row r="2" ht="25" customHeight="1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</x:row>
    <x:row r="3" ht="15" hidden="0" customHeight="1">
      <x:c r="A3" s="71" t="str">
        <x:v>Historical economics, fulfillment, forecast accuracy, and replenishment status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</x:row>
    <x:row r="4"/>
    <x:row r="5" ht="21.600000381469727" hidden="0" customHeight="1">
      <x:c r="A5" s="78" t="str">
        <x:v>SKU</x:v>
      </x:c>
      <x:c r="B5" s="78" t="str">
        <x:v>ProductName</x:v>
      </x:c>
      <x:c r="C5" s="78" t="str">
        <x:v>Category</x:v>
      </x:c>
      <x:c r="D5" s="78" t="str">
        <x:v>Segment</x:v>
      </x:c>
      <x:c r="E5" s="78" t="str">
        <x:v>SupplierID</x:v>
      </x:c>
      <x:c r="F5" s="78" t="str">
        <x:v>EstimatedDemandUnits</x:v>
      </x:c>
      <x:c r="G5" s="78" t="str">
        <x:v>UnitsSold</x:v>
      </x:c>
      <x:c r="H5" s="78" t="str">
        <x:v>LostSalesUnits</x:v>
      </x:c>
      <x:c r="I5" s="78" t="str">
        <x:v>NetRevenueTRY</x:v>
      </x:c>
      <x:c r="J5" s="78" t="str">
        <x:v>GrossProfitTRY</x:v>
      </x:c>
      <x:c r="K5" s="78" t="str">
        <x:v>ChampionModel</x:v>
      </x:c>
      <x:c r="L5" s="78" t="str">
        <x:v>ChampionWAPE</x:v>
      </x:c>
      <x:c r="M5" s="78" t="str">
        <x:v>ChampionBias</x:v>
      </x:c>
      <x:c r="N5" s="78" t="str">
        <x:v>ProjectedWeeksOfSupply</x:v>
      </x:c>
      <x:c r="O5" s="78" t="str">
        <x:v>RecommendedOrderQty</x:v>
      </x:c>
      <x:c r="P5" s="78" t="str">
        <x:v>RecommendedInvestmentTRY</x:v>
      </x:c>
      <x:c r="Q5" s="78" t="str">
        <x:v>Action</x:v>
      </x:c>
      <x:c r="R5" s="78" t="str">
        <x:v>DemandFulfillmentRate</x:v>
      </x:c>
      <x:c r="S5" s="78" t="str">
        <x:v>GrossMarginPct</x:v>
      </x:c>
    </x:row>
    <x:row r="6" ht="15" hidden="0" customHeight="1">
      <x:c r="A6" s="74" t="str">
        <x:v>DRE-006</x:v>
      </x:c>
      <x:c r="B6" s="74" t="str">
        <x:v>Ribbed Dresse</x:v>
      </x:c>
      <x:c r="C6" s="74" t="str">
        <x:v>Dresses</x:v>
      </x:c>
      <x:c r="D6" s="74" t="str">
        <x:v>Core</x:v>
      </x:c>
      <x:c r="E6" s="74" t="str">
        <x:v>SUP-001</x:v>
      </x:c>
      <x:c r="F6" s="74" t="n">
        <x:v>14627</x:v>
      </x:c>
      <x:c r="G6" s="74" t="n">
        <x:v>14237</x:v>
      </x:c>
      <x:c r="H6" s="74" t="n">
        <x:v>390</x:v>
      </x:c>
      <x:c r="I6" s="85" t="n">
        <x:v>41960047.5</x:v>
      </x:c>
      <x:c r="J6" s="85" t="n">
        <x:v>23186000.34</x:v>
      </x:c>
      <x:c r="K6" s="74" t="str">
        <x:v>Gradient Boosting</x:v>
      </x:c>
      <x:c r="L6" s="80" t="n">
        <x:v>0.161884</x:v>
      </x:c>
      <x:c r="M6" s="80" t="n">
        <x:v>-0.047043</x:v>
      </x:c>
      <x:c r="N6" s="74" t="n">
        <x:v>7.209</x:v>
      </x:c>
      <x:c r="O6" s="74" t="n">
        <x:v>0</x:v>
      </x:c>
      <x:c r="P6" s="85" t="n">
        <x:v>0</x:v>
      </x:c>
      <x:c r="Q6" s="74" t="str">
        <x:v>HEALTHY</x:v>
      </x:c>
      <x:c r="R6" s="80" t="n">
        <x:v>0.973336979558351</x:v>
      </x:c>
      <x:c r="S6" s="80" t="n">
        <x:v>0.552573262458771</x:v>
      </x:c>
    </x:row>
    <x:row r="7" ht="15" hidden="0" customHeight="1">
      <x:c r="A7" s="74" t="str">
        <x:v>DRE-004</x:v>
      </x:c>
      <x:c r="B7" s="74" t="str">
        <x:v>Linen Dresse</x:v>
      </x:c>
      <x:c r="C7" s="74" t="str">
        <x:v>Dresses</x:v>
      </x:c>
      <x:c r="D7" s="74" t="str">
        <x:v>Core</x:v>
      </x:c>
      <x:c r="E7" s="74" t="str">
        <x:v>SUP-007</x:v>
      </x:c>
      <x:c r="F7" s="74" t="n">
        <x:v>14404.98</x:v>
      </x:c>
      <x:c r="G7" s="74" t="n">
        <x:v>13960</x:v>
      </x:c>
      <x:c r="H7" s="74" t="n">
        <x:v>444.98</x:v>
      </x:c>
      <x:c r="I7" s="85" t="n">
        <x:v>40996456.8</x:v>
      </x:c>
      <x:c r="J7" s="85" t="n">
        <x:v>22100340.4</x:v>
      </x:c>
      <x:c r="K7" s="74" t="str">
        <x:v>Gradient Boosting</x:v>
      </x:c>
      <x:c r="L7" s="80" t="n">
        <x:v>0.162361</x:v>
      </x:c>
      <x:c r="M7" s="80" t="n">
        <x:v>-0.104806</x:v>
      </x:c>
      <x:c r="N7" s="74" t="n">
        <x:v>9.856</x:v>
      </x:c>
      <x:c r="O7" s="74" t="n">
        <x:v>0</x:v>
      </x:c>
      <x:c r="P7" s="85" t="n">
        <x:v>0</x:v>
      </x:c>
      <x:c r="Q7" s="74" t="str">
        <x:v>HEALTHY</x:v>
      </x:c>
      <x:c r="R7" s="80" t="n">
        <x:v>0.9691092941468853</x:v>
      </x:c>
      <x:c r="S7" s="80" t="n">
        <x:v>0.5390792796513088</x:v>
      </x:c>
    </x:row>
    <x:row r="8" ht="15" hidden="0" customHeight="1">
      <x:c r="A8" s="74" t="str">
        <x:v>DRE-010</x:v>
      </x:c>
      <x:c r="B8" s="74" t="str">
        <x:v>Signature Dresse</x:v>
      </x:c>
      <x:c r="C8" s="74" t="str">
        <x:v>Dresses</x:v>
      </x:c>
      <x:c r="D8" s="74" t="str">
        <x:v>Core</x:v>
      </x:c>
      <x:c r="E8" s="74" t="str">
        <x:v>SUP-005</x:v>
      </x:c>
      <x:c r="F8" s="74" t="n">
        <x:v>12573.01</x:v>
      </x:c>
      <x:c r="G8" s="74" t="n">
        <x:v>11803</x:v>
      </x:c>
      <x:c r="H8" s="74" t="n">
        <x:v>770.01</x:v>
      </x:c>
      <x:c r="I8" s="85" t="n">
        <x:v>34448599.2</x:v>
      </x:c>
      <x:c r="J8" s="85" t="n">
        <x:v>22192718.09</x:v>
      </x:c>
      <x:c r="K8" s="74" t="str">
        <x:v>Gradient Boosting</x:v>
      </x:c>
      <x:c r="L8" s="80" t="n">
        <x:v>0.122755</x:v>
      </x:c>
      <x:c r="M8" s="80" t="n">
        <x:v>-0.008736</x:v>
      </x:c>
      <x:c r="N8" s="74" t="n">
        <x:v>8.349</x:v>
      </x:c>
      <x:c r="O8" s="74" t="n">
        <x:v>120</x:v>
      </x:c>
      <x:c r="P8" s="85" t="n">
        <x:v>124604.4</x:v>
      </x:c>
      <x:c r="Q8" s="74" t="str">
        <x:v>HEALTHY</x:v>
      </x:c>
      <x:c r="R8" s="80" t="n">
        <x:v>0.9387569086479689</x:v>
      </x:c>
      <x:c r="S8" s="80" t="n">
        <x:v>0.6442270108329977</x:v>
      </x:c>
    </x:row>
    <x:row r="9" ht="15" hidden="0" customHeight="1">
      <x:c r="A9" s="74" t="str">
        <x:v>DRE-002</x:v>
      </x:c>
      <x:c r="B9" s="74" t="str">
        <x:v>Midi Dresse</x:v>
      </x:c>
      <x:c r="C9" s="74" t="str">
        <x:v>Dresses</x:v>
      </x:c>
      <x:c r="D9" s="74" t="str">
        <x:v>Trend</x:v>
      </x:c>
      <x:c r="E9" s="74" t="str">
        <x:v>SUP-005</x:v>
      </x:c>
      <x:c r="F9" s="74" t="n">
        <x:v>10719</x:v>
      </x:c>
      <x:c r="G9" s="74" t="n">
        <x:v>9871</x:v>
      </x:c>
      <x:c r="H9" s="74" t="n">
        <x:v>848</x:v>
      </x:c>
      <x:c r="I9" s="85" t="n">
        <x:v>29608750.6</x:v>
      </x:c>
      <x:c r="J9" s="85" t="n">
        <x:v>17330213.7</x:v>
      </x:c>
      <x:c r="K9" s="74" t="str">
        <x:v>Seasonal Naive</x:v>
      </x:c>
      <x:c r="L9" s="80" t="n">
        <x:v>0.167027</x:v>
      </x:c>
      <x:c r="M9" s="80" t="n">
        <x:v>-0.123164</x:v>
      </x:c>
      <x:c r="N9" s="74" t="n">
        <x:v>5.389</x:v>
      </x:c>
      <x:c r="O9" s="74" t="n">
        <x:v>336</x:v>
      </x:c>
      <x:c r="P9" s="85" t="n">
        <x:v>417950.4</x:v>
      </x:c>
      <x:c r="Q9" s="74" t="str">
        <x:v>ORDER NOW</x:v>
      </x:c>
      <x:c r="R9" s="80" t="n">
        <x:v>0.920888142550611</x:v>
      </x:c>
      <x:c r="S9" s="80" t="n">
        <x:v>0.5853071591612514</x:v>
      </x:c>
    </x:row>
    <x:row r="10" ht="15" hidden="0" customHeight="1">
      <x:c r="A10" s="74" t="str">
        <x:v>OUT-007</x:v>
      </x:c>
      <x:c r="B10" s="74" t="str">
        <x:v>Quilted Outerwear</x:v>
      </x:c>
      <x:c r="C10" s="74" t="str">
        <x:v>Outerwear</x:v>
      </x:c>
      <x:c r="D10" s="74" t="str">
        <x:v>Trend</x:v>
      </x:c>
      <x:c r="E10" s="74" t="str">
        <x:v>SUP-006</x:v>
      </x:c>
      <x:c r="F10" s="74" t="n">
        <x:v>7051</x:v>
      </x:c>
      <x:c r="G10" s="74" t="n">
        <x:v>6791</x:v>
      </x:c>
      <x:c r="H10" s="74" t="n">
        <x:v>260</x:v>
      </x:c>
      <x:c r="I10" s="85" t="n">
        <x:v>28671094.8</x:v>
      </x:c>
      <x:c r="J10" s="85" t="n">
        <x:v>15072117.3</x:v>
      </x:c>
      <x:c r="K10" s="74" t="str">
        <x:v>Gradient Boosting</x:v>
      </x:c>
      <x:c r="L10" s="80" t="n">
        <x:v>0.192547</x:v>
      </x:c>
      <x:c r="M10" s="80" t="n">
        <x:v>-0.07537</x:v>
      </x:c>
      <x:c r="N10" s="74" t="n">
        <x:v>4.943</x:v>
      </x:c>
      <x:c r="O10" s="74" t="n">
        <x:v>160</x:v>
      </x:c>
      <x:c r="P10" s="85" t="n">
        <x:v>320400</x:v>
      </x:c>
      <x:c r="Q10" s="74" t="str">
        <x:v>HEALTHY</x:v>
      </x:c>
      <x:c r="R10" s="80" t="n">
        <x:v>0.963125797759183</x:v>
      </x:c>
      <x:c r="S10" s="80" t="n">
        <x:v>0.525690330457838</x:v>
      </x:c>
    </x:row>
    <x:row r="11" ht="15" hidden="0" customHeight="1">
      <x:c r="A11" s="74" t="str">
        <x:v>TOP-006</x:v>
      </x:c>
      <x:c r="B11" s="74" t="str">
        <x:v>Oxford Top</x:v>
      </x:c>
      <x:c r="C11" s="74" t="str">
        <x:v>Tops</x:v>
      </x:c>
      <x:c r="D11" s="74" t="str">
        <x:v>Premium</x:v>
      </x:c>
      <x:c r="E11" s="74" t="str">
        <x:v>SUP-007</x:v>
      </x:c>
      <x:c r="F11" s="74" t="n">
        <x:v>14777.99</x:v>
      </x:c>
      <x:c r="G11" s="74" t="n">
        <x:v>14220</x:v>
      </x:c>
      <x:c r="H11" s="74" t="n">
        <x:v>557.99</x:v>
      </x:c>
      <x:c r="I11" s="85" t="n">
        <x:v>24952270.2</x:v>
      </x:c>
      <x:c r="J11" s="85" t="n">
        <x:v>15444493.8</x:v>
      </x:c>
      <x:c r="K11" s="74" t="str">
        <x:v>Gradient Boosting</x:v>
      </x:c>
      <x:c r="L11" s="80" t="n">
        <x:v>0.093169</x:v>
      </x:c>
      <x:c r="M11" s="80" t="n">
        <x:v>0.045594</x:v>
      </x:c>
      <x:c r="N11" s="74" t="n">
        <x:v>8.23</x:v>
      </x:c>
      <x:c r="O11" s="74" t="n">
        <x:v>48</x:v>
      </x:c>
      <x:c r="P11" s="85" t="n">
        <x:v>32093.76</x:v>
      </x:c>
      <x:c r="Q11" s="74" t="str">
        <x:v>HEALTHY</x:v>
      </x:c>
      <x:c r="R11" s="80" t="n">
        <x:v>0.9622418204370148</x:v>
      </x:c>
      <x:c r="S11" s="80" t="n">
        <x:v>0.6189614682835552</x:v>
      </x:c>
    </x:row>
    <x:row r="12" ht="15" hidden="0" customHeight="1">
      <x:c r="A12" s="74" t="str">
        <x:v>DRE-008</x:v>
      </x:c>
      <x:c r="B12" s="74" t="str">
        <x:v>Minimal Dresse</x:v>
      </x:c>
      <x:c r="C12" s="74" t="str">
        <x:v>Dresses</x:v>
      </x:c>
      <x:c r="D12" s="74" t="str">
        <x:v>Premium</x:v>
      </x:c>
      <x:c r="E12" s="74" t="str">
        <x:v>SUP-003</x:v>
      </x:c>
      <x:c r="F12" s="74" t="n">
        <x:v>9127.98</x:v>
      </x:c>
      <x:c r="G12" s="74" t="n">
        <x:v>8907</x:v>
      </x:c>
      <x:c r="H12" s="74" t="n">
        <x:v>220.98000000000002</x:v>
      </x:c>
      <x:c r="I12" s="85" t="n">
        <x:v>24411900.8</x:v>
      </x:c>
      <x:c r="J12" s="85" t="n">
        <x:v>15520488.05</x:v>
      </x:c>
      <x:c r="K12" s="74" t="str">
        <x:v>Gradient Boosting</x:v>
      </x:c>
      <x:c r="L12" s="80" t="n">
        <x:v>0.160447</x:v>
      </x:c>
      <x:c r="M12" s="80" t="n">
        <x:v>0.051363</x:v>
      </x:c>
      <x:c r="N12" s="74" t="n">
        <x:v>1.662</x:v>
      </x:c>
      <x:c r="O12" s="74" t="n">
        <x:v>370</x:v>
      </x:c>
      <x:c r="P12" s="85" t="n">
        <x:v>369352.5</x:v>
      </x:c>
      <x:c r="Q12" s="74" t="str">
        <x:v>ORDER NOW</x:v>
      </x:c>
      <x:c r="R12" s="80" t="n">
        <x:v>0.9757909197872914</x:v>
      </x:c>
      <x:c r="S12" s="80" t="n">
        <x:v>0.6357754841441925</x:v>
      </x:c>
    </x:row>
    <x:row r="13" ht="15" hidden="0" customHeight="1">
      <x:c r="A13" s="74" t="str">
        <x:v>DRE-007</x:v>
      </x:c>
      <x:c r="B13" s="74" t="str">
        <x:v>Floral Dresse</x:v>
      </x:c>
      <x:c r="C13" s="74" t="str">
        <x:v>Dresses</x:v>
      </x:c>
      <x:c r="D13" s="74" t="str">
        <x:v>Core</x:v>
      </x:c>
      <x:c r="E13" s="74" t="str">
        <x:v>SUP-002</x:v>
      </x:c>
      <x:c r="F13" s="74" t="n">
        <x:v>8205.01</x:v>
      </x:c>
      <x:c r="G13" s="74" t="n">
        <x:v>7965</x:v>
      </x:c>
      <x:c r="H13" s="74" t="n">
        <x:v>240.01</x:v>
      </x:c>
      <x:c r="I13" s="85" t="n">
        <x:v>23599957.5</x:v>
      </x:c>
      <x:c r="J13" s="85" t="n">
        <x:v>13730446.35</x:v>
      </x:c>
      <x:c r="K13" s="74" t="str">
        <x:v>Seasonal Naive</x:v>
      </x:c>
      <x:c r="L13" s="80" t="n">
        <x:v>0.218898</x:v>
      </x:c>
      <x:c r="M13" s="80" t="n">
        <x:v>-0.004724</x:v>
      </x:c>
      <x:c r="N13" s="74" t="n">
        <x:v>7.148</x:v>
      </x:c>
      <x:c r="O13" s="74" t="n">
        <x:v>24</x:v>
      </x:c>
      <x:c r="P13" s="85" t="n">
        <x:v>29738.64</x:v>
      </x:c>
      <x:c r="Q13" s="74" t="str">
        <x:v>HEALTHY</x:v>
      </x:c>
      <x:c r="R13" s="80" t="n">
        <x:v>0.970748359843559</x:v>
      </x:c>
      <x:c r="S13" s="80" t="n">
        <x:v>0.5817996218849123</x:v>
      </x:c>
    </x:row>
    <x:row r="14" ht="15" hidden="0" customHeight="1">
      <x:c r="A14" s="74" t="str">
        <x:v>OUT-002</x:v>
      </x:c>
      <x:c r="B14" s="74" t="str">
        <x:v>Wool Outerwear</x:v>
      </x:c>
      <x:c r="C14" s="74" t="str">
        <x:v>Outerwear</x:v>
      </x:c>
      <x:c r="D14" s="74" t="str">
        <x:v>Premium</x:v>
      </x:c>
      <x:c r="E14" s="74" t="str">
        <x:v>SUP-001</x:v>
      </x:c>
      <x:c r="F14" s="74" t="n">
        <x:v>7647.01</x:v>
      </x:c>
      <x:c r="G14" s="74" t="n">
        <x:v>7385</x:v>
      </x:c>
      <x:c r="H14" s="74" t="n">
        <x:v>262.01</x:v>
      </x:c>
      <x:c r="I14" s="85" t="n">
        <x:v>22669481.8</x:v>
      </x:c>
      <x:c r="J14" s="85" t="n">
        <x:v>12237504.65</x:v>
      </x:c>
      <x:c r="K14" s="74" t="str">
        <x:v>Gradient Boosting</x:v>
      </x:c>
      <x:c r="L14" s="80" t="n">
        <x:v>0.157984</x:v>
      </x:c>
      <x:c r="M14" s="80" t="n">
        <x:v>-0.079738</x:v>
      </x:c>
      <x:c r="N14" s="74" t="n">
        <x:v>6.504</x:v>
      </x:c>
      <x:c r="O14" s="74" t="n">
        <x:v>0</x:v>
      </x:c>
      <x:c r="P14" s="85" t="n">
        <x:v>0</x:v>
      </x:c>
      <x:c r="Q14" s="74" t="str">
        <x:v>HEALTHY</x:v>
      </x:c>
      <x:c r="R14" s="80" t="n">
        <x:v>0.9657369350896625</x:v>
      </x:c>
      <x:c r="S14" s="80" t="n">
        <x:v>0.5398228666170922</x:v>
      </x:c>
    </x:row>
    <x:row r="15" ht="15" hidden="0" customHeight="1">
      <x:c r="A15" s="74" t="str">
        <x:v>BOT-006</x:v>
      </x:c>
      <x:c r="B15" s="74" t="str">
        <x:v>Cargo Bottom</x:v>
      </x:c>
      <x:c r="C15" s="74" t="str">
        <x:v>Bottoms</x:v>
      </x:c>
      <x:c r="D15" s="74" t="str">
        <x:v>Core</x:v>
      </x:c>
      <x:c r="E15" s="74" t="str">
        <x:v>SUP-001</x:v>
      </x:c>
      <x:c r="F15" s="74" t="n">
        <x:v>12581.98</x:v>
      </x:c>
      <x:c r="G15" s="74" t="n">
        <x:v>12543</x:v>
      </x:c>
      <x:c r="H15" s="74" t="n">
        <x:v>38.980000000000004</x:v>
      </x:c>
      <x:c r="I15" s="85" t="n">
        <x:v>21732736.8</x:v>
      </x:c>
      <x:c r="J15" s="85" t="n">
        <x:v>12253740.84</x:v>
      </x:c>
      <x:c r="K15" s="74" t="str">
        <x:v>Gradient Boosting</x:v>
      </x:c>
      <x:c r="L15" s="80" t="n">
        <x:v>0.149196</x:v>
      </x:c>
      <x:c r="M15" s="80" t="n">
        <x:v>-0.043275</x:v>
      </x:c>
      <x:c r="N15" s="74" t="n">
        <x:v>1.927</x:v>
      </x:c>
      <x:c r="O15" s="74" t="n">
        <x:v>344</x:v>
      </x:c>
      <x:c r="P15" s="85" t="n">
        <x:v>259967.68</x:v>
      </x:c>
      <x:c r="Q15" s="74" t="str">
        <x:v>MONITOR</x:v>
      </x:c>
      <x:c r="R15" s="80" t="n">
        <x:v>0.9969019184579851</x:v>
      </x:c>
      <x:c r="S15" s="80" t="n">
        <x:v>0.5638379074282075</x:v>
      </x:c>
    </x:row>
    <x:row r="16" ht="15" hidden="0" customHeight="1">
      <x:c r="A16" s="74" t="str">
        <x:v>DRE-003</x:v>
      </x:c>
      <x:c r="B16" s="74" t="str">
        <x:v>Wrap Dresse</x:v>
      </x:c>
      <x:c r="C16" s="74" t="str">
        <x:v>Dresses</x:v>
      </x:c>
      <x:c r="D16" s="74" t="str">
        <x:v>Core</x:v>
      </x:c>
      <x:c r="E16" s="74" t="str">
        <x:v>SUP-006</x:v>
      </x:c>
      <x:c r="F16" s="74" t="n">
        <x:v>9444.99</x:v>
      </x:c>
      <x:c r="G16" s="74" t="n">
        <x:v>9170</x:v>
      </x:c>
      <x:c r="H16" s="74" t="n">
        <x:v>274.99</x:v>
      </x:c>
      <x:c r="I16" s="85" t="n">
        <x:v>21228810.2</x:v>
      </x:c>
      <x:c r="J16" s="85" t="n">
        <x:v>12176277.9</x:v>
      </x:c>
      <x:c r="K16" s="74" t="str">
        <x:v>Gradient Boosting</x:v>
      </x:c>
      <x:c r="L16" s="80" t="n">
        <x:v>0.141512</x:v>
      </x:c>
      <x:c r="M16" s="80" t="n">
        <x:v>0.026989</x:v>
      </x:c>
      <x:c r="N16" s="74" t="n">
        <x:v>2.261</x:v>
      </x:c>
      <x:c r="O16" s="74" t="n">
        <x:v>424</x:v>
      </x:c>
      <x:c r="P16" s="85" t="n">
        <x:v>418568.56</x:v>
      </x:c>
      <x:c r="Q16" s="74" t="str">
        <x:v>ORDER NOW</x:v>
      </x:c>
      <x:c r="R16" s="80" t="n">
        <x:v>0.9708850935787121</x:v>
      </x:c>
      <x:c r="S16" s="80" t="n">
        <x:v>0.57357326130317</x:v>
      </x:c>
    </x:row>
    <x:row r="17" ht="15" hidden="0" customHeight="1">
      <x:c r="A17" s="74" t="str">
        <x:v>TOP-008</x:v>
      </x:c>
      <x:c r="B17" s="74" t="str">
        <x:v>Relaxed Top</x:v>
      </x:c>
      <x:c r="C17" s="74" t="str">
        <x:v>Tops</x:v>
      </x:c>
      <x:c r="D17" s="74" t="str">
        <x:v>Core</x:v>
      </x:c>
      <x:c r="E17" s="74" t="str">
        <x:v>SUP-001</x:v>
      </x:c>
      <x:c r="F17" s="74" t="n">
        <x:v>12159.02</x:v>
      </x:c>
      <x:c r="G17" s="74" t="n">
        <x:v>12011</x:v>
      </x:c>
      <x:c r="H17" s="74" t="n">
        <x:v>148.02</x:v>
      </x:c>
      <x:c r="I17" s="85" t="n">
        <x:v>19977618.3</x:v>
      </x:c>
      <x:c r="J17" s="85" t="n">
        <x:v>11604509.98</x:v>
      </x:c>
      <x:c r="K17" s="74" t="str">
        <x:v>Gradient Boosting</x:v>
      </x:c>
      <x:c r="L17" s="80" t="n">
        <x:v>0.156932</x:v>
      </x:c>
      <x:c r="M17" s="80" t="n">
        <x:v>0.023098</x:v>
      </x:c>
      <x:c r="N17" s="74" t="n">
        <x:v>3.168</x:v>
      </x:c>
      <x:c r="O17" s="74" t="n">
        <x:v>264</x:v>
      </x:c>
      <x:c r="P17" s="85" t="n">
        <x:v>184039.68</x:v>
      </x:c>
      <x:c r="Q17" s="74" t="str">
        <x:v>HEALTHY</x:v>
      </x:c>
      <x:c r="R17" s="80" t="n">
        <x:v>0.9878263215292021</x:v>
      </x:c>
      <x:c r="S17" s="80" t="n">
        <x:v>0.5808755481127598</x:v>
      </x:c>
    </x:row>
    <x:row r="18" ht="15" hidden="0" customHeight="1">
      <x:c r="A18" s="74" t="str">
        <x:v>OUT-010</x:v>
      </x:c>
      <x:c r="B18" s="74" t="str">
        <x:v>Storm Outerwear</x:v>
      </x:c>
      <x:c r="C18" s="74" t="str">
        <x:v>Outerwear</x:v>
      </x:c>
      <x:c r="D18" s="74" t="str">
        <x:v>Core</x:v>
      </x:c>
      <x:c r="E18" s="74" t="str">
        <x:v>SUP-001</x:v>
      </x:c>
      <x:c r="F18" s="74" t="n">
        <x:v>5216.98</x:v>
      </x:c>
      <x:c r="G18" s="74" t="n">
        <x:v>5125</x:v>
      </x:c>
      <x:c r="H18" s="74" t="n">
        <x:v>91.98</x:v>
      </x:c>
      <x:c r="I18" s="85" t="n">
        <x:v>19690848.8</x:v>
      </x:c>
      <x:c r="J18" s="85" t="n">
        <x:v>11041130.05</x:v>
      </x:c>
      <x:c r="K18" s="74" t="str">
        <x:v>Gradient Boosting</x:v>
      </x:c>
      <x:c r="L18" s="80" t="n">
        <x:v>0.167087</x:v>
      </x:c>
      <x:c r="M18" s="80" t="n">
        <x:v>0.024179</x:v>
      </x:c>
      <x:c r="N18" s="74" t="n">
        <x:v>6.976</x:v>
      </x:c>
      <x:c r="O18" s="74" t="n">
        <x:v>0</x:v>
      </x:c>
      <x:c r="P18" s="85" t="n">
        <x:v>0</x:v>
      </x:c>
      <x:c r="Q18" s="74" t="str">
        <x:v>HEALTHY</x:v>
      </x:c>
      <x:c r="R18" s="80" t="n">
        <x:v>0.9823691100981795</x:v>
      </x:c>
      <x:c r="S18" s="80" t="n">
        <x:v>0.560723926233185</x:v>
      </x:c>
    </x:row>
    <x:row r="19" ht="15" hidden="0" customHeight="1">
      <x:c r="A19" s="74" t="str">
        <x:v>KNI-003</x:v>
      </x:c>
      <x:c r="B19" s="74" t="str">
        <x:v>Soft Knitwear</x:v>
      </x:c>
      <x:c r="C19" s="74" t="str">
        <x:v>Knitwear</x:v>
      </x:c>
      <x:c r="D19" s="74" t="str">
        <x:v>Core</x:v>
      </x:c>
      <x:c r="E19" s="74" t="str">
        <x:v>SUP-008</x:v>
      </x:c>
      <x:c r="F19" s="74" t="n">
        <x:v>10933</x:v>
      </x:c>
      <x:c r="G19" s="74" t="n">
        <x:v>10729</x:v>
      </x:c>
      <x:c r="H19" s="74" t="n">
        <x:v>204</x:v>
      </x:c>
      <x:c r="I19" s="85" t="n">
        <x:v>19606759.9</x:v>
      </x:c>
      <x:c r="J19" s="85" t="n">
        <x:v>10990300</x:v>
      </x:c>
      <x:c r="K19" s="74" t="str">
        <x:v>Gradient Boosting</x:v>
      </x:c>
      <x:c r="L19" s="80" t="n">
        <x:v>0.170409</x:v>
      </x:c>
      <x:c r="M19" s="80" t="n">
        <x:v>-0.085589</x:v>
      </x:c>
      <x:c r="N19" s="74" t="n">
        <x:v>6.208</x:v>
      </x:c>
      <x:c r="O19" s="74" t="n">
        <x:v>0</x:v>
      </x:c>
      <x:c r="P19" s="85" t="n">
        <x:v>0</x:v>
      </x:c>
      <x:c r="Q19" s="74" t="str">
        <x:v>HEALTHY</x:v>
      </x:c>
      <x:c r="R19" s="80" t="n">
        <x:v>0.9813408945394677</x:v>
      </x:c>
      <x:c r="S19" s="80" t="n">
        <x:v>0.5605362668821176</x:v>
      </x:c>
    </x:row>
    <x:row r="20" ht="15" hidden="0" customHeight="1">
      <x:c r="A20" s="74" t="str">
        <x:v>KNI-002</x:v>
      </x:c>
      <x:c r="B20" s="74" t="str">
        <x:v>Cable Knitwear</x:v>
      </x:c>
      <x:c r="C20" s="74" t="str">
        <x:v>Knitwear</x:v>
      </x:c>
      <x:c r="D20" s="74" t="str">
        <x:v>Trend</x:v>
      </x:c>
      <x:c r="E20" s="74" t="str">
        <x:v>SUP-007</x:v>
      </x:c>
      <x:c r="F20" s="74" t="n">
        <x:v>9112.98</x:v>
      </x:c>
      <x:c r="G20" s="74" t="n">
        <x:v>8542</x:v>
      </x:c>
      <x:c r="H20" s="74" t="n">
        <x:v>570.98</x:v>
      </x:c>
      <x:c r="I20" s="85" t="n">
        <x:v>18817389.2</x:v>
      </x:c>
      <x:c r="J20" s="85" t="n">
        <x:v>10455283.72</x:v>
      </x:c>
      <x:c r="K20" s="74" t="str">
        <x:v>Gradient Boosting</x:v>
      </x:c>
      <x:c r="L20" s="80" t="n">
        <x:v>0.137512</x:v>
      </x:c>
      <x:c r="M20" s="80" t="n">
        <x:v>-0.018862</x:v>
      </x:c>
      <x:c r="N20" s="74" t="n">
        <x:v>6.812</x:v>
      </x:c>
      <x:c r="O20" s="74" t="n">
        <x:v>144</x:v>
      </x:c>
      <x:c r="P20" s="85" t="n">
        <x:v>140967.36</x:v>
      </x:c>
      <x:c r="Q20" s="74" t="str">
        <x:v>HEALTHY</x:v>
      </x:c>
      <x:c r="R20" s="80" t="n">
        <x:v>0.9373443154708998</x:v>
      </x:c>
      <x:c r="S20" s="80" t="n">
        <x:v>0.5556181895839196</x:v>
      </x:c>
    </x:row>
    <x:row r="21" ht="15" hidden="0" customHeight="1">
      <x:c r="A21" s="74" t="str">
        <x:v>BOT-007</x:v>
      </x:c>
      <x:c r="B21" s="74" t="str">
        <x:v>Cropped Bottom</x:v>
      </x:c>
      <x:c r="C21" s="74" t="str">
        <x:v>Bottoms</x:v>
      </x:c>
      <x:c r="D21" s="74" t="str">
        <x:v>Trend</x:v>
      </x:c>
      <x:c r="E21" s="74" t="str">
        <x:v>SUP-002</x:v>
      </x:c>
      <x:c r="F21" s="74" t="n">
        <x:v>10223.99</x:v>
      </x:c>
      <x:c r="G21" s="74" t="n">
        <x:v>10143</x:v>
      </x:c>
      <x:c r="H21" s="74" t="n">
        <x:v>80.99000000000001</x:v>
      </x:c>
      <x:c r="I21" s="85" t="n">
        <x:v>18272928</x:v>
      </x:c>
      <x:c r="J21" s="85" t="n">
        <x:v>10928280.27</x:v>
      </x:c>
      <x:c r="K21" s="74" t="str">
        <x:v>Gradient Boosting</x:v>
      </x:c>
      <x:c r="L21" s="80" t="n">
        <x:v>0.175039</x:v>
      </x:c>
      <x:c r="M21" s="80" t="n">
        <x:v>-0.055396</x:v>
      </x:c>
      <x:c r="N21" s="74" t="n">
        <x:v>6.936</x:v>
      </x:c>
      <x:c r="O21" s="74" t="n">
        <x:v>16</x:v>
      </x:c>
      <x:c r="P21" s="85" t="n">
        <x:v>11585.76</x:v>
      </x:c>
      <x:c r="Q21" s="74" t="str">
        <x:v>HEALTHY</x:v>
      </x:c>
      <x:c r="R21" s="80" t="n">
        <x:v>0.9920784351314897</x:v>
      </x:c>
      <x:c r="S21" s="80" t="n">
        <x:v>0.598058519685515</x:v>
      </x:c>
    </x:row>
    <x:row r="22" ht="15" hidden="0" customHeight="1">
      <x:c r="A22" s="74" t="str">
        <x:v>BOT-004</x:v>
      </x:c>
      <x:c r="B22" s="74" t="str">
        <x:v>Satin Bottom</x:v>
      </x:c>
      <x:c r="C22" s="74" t="str">
        <x:v>Bottoms</x:v>
      </x:c>
      <x:c r="D22" s="74" t="str">
        <x:v>Core</x:v>
      </x:c>
      <x:c r="E22" s="74" t="str">
        <x:v>SUP-007</x:v>
      </x:c>
      <x:c r="F22" s="74" t="n">
        <x:v>8665.99</x:v>
      </x:c>
      <x:c r="G22" s="74" t="n">
        <x:v>8421</x:v>
      </x:c>
      <x:c r="H22" s="74" t="n">
        <x:v>244.99</x:v>
      </x:c>
      <x:c r="I22" s="85" t="n">
        <x:v>18035172.7</x:v>
      </x:c>
      <x:c r="J22" s="85" t="n">
        <x:v>9997580.83</x:v>
      </x:c>
      <x:c r="K22" s="74" t="str">
        <x:v>Gradient Boosting</x:v>
      </x:c>
      <x:c r="L22" s="80" t="n">
        <x:v>0.153544</x:v>
      </x:c>
      <x:c r="M22" s="80" t="n">
        <x:v>0.035513</x:v>
      </x:c>
      <x:c r="N22" s="74" t="n">
        <x:v>3.75</x:v>
      </x:c>
      <x:c r="O22" s="74" t="n">
        <x:v>336</x:v>
      </x:c>
      <x:c r="P22" s="85" t="n">
        <x:v>320701.92</x:v>
      </x:c>
      <x:c r="Q22" s="74" t="str">
        <x:v>ORDER NOW</x:v>
      </x:c>
      <x:c r="R22" s="80" t="n">
        <x:v>0.9717297158201198</x:v>
      </x:c>
      <x:c r="S22" s="80" t="n">
        <x:v>0.554337959292178</x:v>
      </x:c>
    </x:row>
    <x:row r="23" ht="15" hidden="0" customHeight="1">
      <x:c r="A23" s="74" t="str">
        <x:v>OUT-009</x:v>
      </x:c>
      <x:c r="B23" s="74" t="str">
        <x:v>Urban Outerwear</x:v>
      </x:c>
      <x:c r="C23" s="74" t="str">
        <x:v>Outerwear</x:v>
      </x:c>
      <x:c r="D23" s="74" t="str">
        <x:v>Core</x:v>
      </x:c>
      <x:c r="E23" s="74" t="str">
        <x:v>SUP-008</x:v>
      </x:c>
      <x:c r="F23" s="74" t="n">
        <x:v>6281.99</x:v>
      </x:c>
      <x:c r="G23" s="74" t="n">
        <x:v>6255</x:v>
      </x:c>
      <x:c r="H23" s="74" t="n">
        <x:v>26.990000000000002</x:v>
      </x:c>
      <x:c r="I23" s="85" t="n">
        <x:v>16971302.8</x:v>
      </x:c>
      <x:c r="J23" s="85" t="n">
        <x:v>9129722.05</x:v>
      </x:c>
      <x:c r="K23" s="74" t="str">
        <x:v>Gradient Boosting</x:v>
      </x:c>
      <x:c r="L23" s="80" t="n">
        <x:v>0.154593</x:v>
      </x:c>
      <x:c r="M23" s="80" t="n">
        <x:v>-0.047853</x:v>
      </x:c>
      <x:c r="N23" s="74" t="n">
        <x:v>0.995</x:v>
      </x:c>
      <x:c r="O23" s="74" t="n">
        <x:v>232</x:v>
      </x:c>
      <x:c r="P23" s="85" t="n">
        <x:v>290846.8</x:v>
      </x:c>
      <x:c r="Q23" s="74" t="str">
        <x:v>ORDER NOW</x:v>
      </x:c>
      <x:c r="R23" s="80" t="n">
        <x:v>0.9957035907411506</x:v>
      </x:c>
      <x:c r="S23" s="80" t="n">
        <x:v>0.5379505720680442</x:v>
      </x:c>
    </x:row>
    <x:row r="24" ht="15" hidden="0" customHeight="1">
      <x:c r="A24" s="74" t="str">
        <x:v>TOP-002</x:v>
      </x:c>
      <x:c r="B24" s="74" t="str">
        <x:v>Cotton Top</x:v>
      </x:c>
      <x:c r="C24" s="74" t="str">
        <x:v>Tops</x:v>
      </x:c>
      <x:c r="D24" s="74" t="str">
        <x:v>Core</x:v>
      </x:c>
      <x:c r="E24" s="74" t="str">
        <x:v>SUP-003</x:v>
      </x:c>
      <x:c r="F24" s="74" t="n">
        <x:v>11167</x:v>
      </x:c>
      <x:c r="G24" s="74" t="n">
        <x:v>11016</x:v>
      </x:c>
      <x:c r="H24" s="74" t="n">
        <x:v>151</x:v>
      </x:c>
      <x:c r="I24" s="85" t="n">
        <x:v>16331986</x:v>
      </x:c>
      <x:c r="J24" s="85" t="n">
        <x:v>10232757.28</x:v>
      </x:c>
      <x:c r="K24" s="74" t="str">
        <x:v>Gradient Boosting</x:v>
      </x:c>
      <x:c r="L24" s="80" t="n">
        <x:v>0.1789</x:v>
      </x:c>
      <x:c r="M24" s="80" t="n">
        <x:v>0.05918</x:v>
      </x:c>
      <x:c r="N24" s="74" t="n">
        <x:v>6.154</x:v>
      </x:c>
      <x:c r="O24" s="74" t="n">
        <x:v>30</x:v>
      </x:c>
      <x:c r="P24" s="85" t="n">
        <x:v>16610.1</x:v>
      </x:c>
      <x:c r="Q24" s="74" t="str">
        <x:v>HEALTHY</x:v>
      </x:c>
      <x:c r="R24" s="80" t="n">
        <x:v>0.9864780155816244</x:v>
      </x:c>
      <x:c r="S24" s="80" t="n">
        <x:v>0.6265470274098937</x:v>
      </x:c>
    </x:row>
    <x:row r="25" ht="15" hidden="0" customHeight="1">
      <x:c r="A25" s="74" t="str">
        <x:v>TOP-004</x:v>
      </x:c>
      <x:c r="B25" s="74" t="str">
        <x:v>Draped Top</x:v>
      </x:c>
      <x:c r="C25" s="74" t="str">
        <x:v>Tops</x:v>
      </x:c>
      <x:c r="D25" s="74" t="str">
        <x:v>Core</x:v>
      </x:c>
      <x:c r="E25" s="74" t="str">
        <x:v>SUP-005</x:v>
      </x:c>
      <x:c r="F25" s="74" t="n">
        <x:v>12228</x:v>
      </x:c>
      <x:c r="G25" s="74" t="n">
        <x:v>11605</x:v>
      </x:c>
      <x:c r="H25" s="74" t="n">
        <x:v>623</x:v>
      </x:c>
      <x:c r="I25" s="85" t="n">
        <x:v>16250550.9</x:v>
      </x:c>
      <x:c r="J25" s="85" t="n">
        <x:v>10365655.4</x:v>
      </x:c>
      <x:c r="K25" s="74" t="str">
        <x:v>Gradient Boosting</x:v>
      </x:c>
      <x:c r="L25" s="80" t="n">
        <x:v>0.138836</x:v>
      </x:c>
      <x:c r="M25" s="80" t="n">
        <x:v>-0.013643</x:v>
      </x:c>
      <x:c r="N25" s="74" t="n">
        <x:v>8.281</x:v>
      </x:c>
      <x:c r="O25" s="74" t="n">
        <x:v>140</x:v>
      </x:c>
      <x:c r="P25" s="85" t="n">
        <x:v>70994</x:v>
      </x:c>
      <x:c r="Q25" s="74" t="str">
        <x:v>HEALTHY</x:v>
      </x:c>
      <x:c r="R25" s="80" t="n">
        <x:v>0.949051357540072</x:v>
      </x:c>
      <x:c r="S25" s="80" t="n">
        <x:v>0.6378648615537089</x:v>
      </x:c>
    </x:row>
    <x:row r="26" ht="15" hidden="0" customHeight="1">
      <x:c r="A26" s="74" t="str">
        <x:v>TOP-005</x:v>
      </x:c>
      <x:c r="B26" s="74" t="str">
        <x:v>Bodysuit Top</x:v>
      </x:c>
      <x:c r="C26" s="74" t="str">
        <x:v>Tops</x:v>
      </x:c>
      <x:c r="D26" s="74" t="str">
        <x:v>Core</x:v>
      </x:c>
      <x:c r="E26" s="74" t="str">
        <x:v>SUP-006</x:v>
      </x:c>
      <x:c r="F26" s="74" t="n">
        <x:v>12592</x:v>
      </x:c>
      <x:c r="G26" s="74" t="n">
        <x:v>12278</x:v>
      </x:c>
      <x:c r="H26" s="74" t="n">
        <x:v>314</x:v>
      </x:c>
      <x:c r="I26" s="85" t="n">
        <x:v>16244511.3</x:v>
      </x:c>
      <x:c r="J26" s="85" t="n">
        <x:v>9695303.32</x:v>
      </x:c>
      <x:c r="K26" s="74" t="str">
        <x:v>Gradient Boosting</x:v>
      </x:c>
      <x:c r="L26" s="80" t="n">
        <x:v>0.194057</x:v>
      </x:c>
      <x:c r="M26" s="80" t="n">
        <x:v>0.051492</x:v>
      </x:c>
      <x:c r="N26" s="74" t="n">
        <x:v>2.897</x:v>
      </x:c>
      <x:c r="O26" s="74" t="n">
        <x:v>444</x:v>
      </x:c>
      <x:c r="P26" s="85" t="n">
        <x:v>236834.04</x:v>
      </x:c>
      <x:c r="Q26" s="74" t="str">
        <x:v>ORDER NOW</x:v>
      </x:c>
      <x:c r="R26" s="80" t="n">
        <x:v>0.9750635324015248</x:v>
      </x:c>
      <x:c r="S26" s="80" t="n">
        <x:v>0.5968356413405924</x:v>
      </x:c>
    </x:row>
    <x:row r="27" ht="15" hidden="0" customHeight="1">
      <x:c r="A27" s="74" t="str">
        <x:v>TOP-009</x:v>
      </x:c>
      <x:c r="B27" s="74" t="str">
        <x:v>Studio Top</x:v>
      </x:c>
      <x:c r="C27" s="74" t="str">
        <x:v>Tops</x:v>
      </x:c>
      <x:c r="D27" s="74" t="str">
        <x:v>Trend</x:v>
      </x:c>
      <x:c r="E27" s="74" t="str">
        <x:v>SUP-002</x:v>
      </x:c>
      <x:c r="F27" s="74" t="n">
        <x:v>17811</x:v>
      </x:c>
      <x:c r="G27" s="74" t="n">
        <x:v>17433</x:v>
      </x:c>
      <x:c r="H27" s="74" t="n">
        <x:v>378</x:v>
      </x:c>
      <x:c r="I27" s="85" t="n">
        <x:v>16059563.8</x:v>
      </x:c>
      <x:c r="J27" s="85" t="n">
        <x:v>10050757.36</x:v>
      </x:c>
      <x:c r="K27" s="74" t="str">
        <x:v>Gradient Boosting</x:v>
      </x:c>
      <x:c r="L27" s="80" t="n">
        <x:v>0.133052</x:v>
      </x:c>
      <x:c r="M27" s="80" t="n">
        <x:v>-0.03921</x:v>
      </x:c>
      <x:c r="N27" s="74" t="n">
        <x:v>5.949</x:v>
      </x:c>
      <x:c r="O27" s="74" t="n">
        <x:v>128</x:v>
      </x:c>
      <x:c r="P27" s="85" t="n">
        <x:v>44119.04</x:v>
      </x:c>
      <x:c r="Q27" s="74" t="str">
        <x:v>HEALTHY</x:v>
      </x:c>
      <x:c r="R27" s="80" t="n">
        <x:v>0.9787771601819101</x:v>
      </x:c>
      <x:c r="S27" s="80" t="n">
        <x:v>0.6258424877019386</x:v>
      </x:c>
    </x:row>
    <x:row r="28" ht="15" hidden="0" customHeight="1">
      <x:c r="A28" s="74" t="str">
        <x:v>BOT-008</x:v>
      </x:c>
      <x:c r="B28" s="74" t="str">
        <x:v>Relaxed Bottom</x:v>
      </x:c>
      <x:c r="C28" s="74" t="str">
        <x:v>Bottoms</x:v>
      </x:c>
      <x:c r="D28" s="74" t="str">
        <x:v>Premium</x:v>
      </x:c>
      <x:c r="E28" s="74" t="str">
        <x:v>SUP-003</x:v>
      </x:c>
      <x:c r="F28" s="74" t="n">
        <x:v>8451</x:v>
      </x:c>
      <x:c r="G28" s="74" t="n">
        <x:v>8405</x:v>
      </x:c>
      <x:c r="H28" s="74" t="n">
        <x:v>46</x:v>
      </x:c>
      <x:c r="I28" s="85" t="n">
        <x:v>15282222.5</x:v>
      </x:c>
      <x:c r="J28" s="85" t="n">
        <x:v>8480812.45</x:v>
      </x:c>
      <x:c r="K28" s="74" t="str">
        <x:v>Gradient Boosting</x:v>
      </x:c>
      <x:c r="L28" s="80" t="n">
        <x:v>0.169255</x:v>
      </x:c>
      <x:c r="M28" s="80" t="n">
        <x:v>-0.014649</x:v>
      </x:c>
      <x:c r="N28" s="74" t="n">
        <x:v>6.627</x:v>
      </x:c>
      <x:c r="O28" s="74" t="n">
        <x:v>0</x:v>
      </x:c>
      <x:c r="P28" s="85" t="n">
        <x:v>0</x:v>
      </x:c>
      <x:c r="Q28" s="74" t="str">
        <x:v>HEALTHY</x:v>
      </x:c>
      <x:c r="R28" s="80" t="n">
        <x:v>0.9945568571766655</x:v>
      </x:c>
      <x:c r="S28" s="80" t="n">
        <x:v>0.5549462749937059</x:v>
      </x:c>
    </x:row>
    <x:row r="29" ht="15" hidden="0" customHeight="1">
      <x:c r="A29" s="74" t="str">
        <x:v>BOT-009</x:v>
      </x:c>
      <x:c r="B29" s="74" t="str">
        <x:v>Classic Bottom</x:v>
      </x:c>
      <x:c r="C29" s="74" t="str">
        <x:v>Bottoms</x:v>
      </x:c>
      <x:c r="D29" s="74" t="str">
        <x:v>Core</x:v>
      </x:c>
      <x:c r="E29" s="74" t="str">
        <x:v>SUP-004</x:v>
      </x:c>
      <x:c r="F29" s="74" t="n">
        <x:v>7066.01</x:v>
      </x:c>
      <x:c r="G29" s="74" t="n">
        <x:v>7048</x:v>
      </x:c>
      <x:c r="H29" s="74" t="n">
        <x:v>18.01</x:v>
      </x:c>
      <x:c r="I29" s="85" t="n">
        <x:v>15035730.9</x:v>
      </x:c>
      <x:c r="J29" s="85" t="n">
        <x:v>8635512.58</x:v>
      </x:c>
      <x:c r="K29" s="74" t="str">
        <x:v>Seasonal Naive</x:v>
      </x:c>
      <x:c r="L29" s="80" t="n">
        <x:v>0.159102</x:v>
      </x:c>
      <x:c r="M29" s="80" t="n">
        <x:v>-0.097606</x:v>
      </x:c>
      <x:c r="N29" s="74" t="n">
        <x:v>3.837</x:v>
      </x:c>
      <x:c r="O29" s="74" t="n">
        <x:v>96</x:v>
      </x:c>
      <x:c r="P29" s="85" t="n">
        <x:v>87176.64</x:v>
      </x:c>
      <x:c r="Q29" s="74" t="str">
        <x:v>HEALTHY</x:v>
      </x:c>
      <x:c r="R29" s="80" t="n">
        <x:v>0.9974511782462804</x:v>
      </x:c>
      <x:c r="S29" s="80" t="n">
        <x:v>0.5743327436114196</x:v>
      </x:c>
    </x:row>
    <x:row r="30" ht="15" hidden="0" customHeight="1">
      <x:c r="A30" s="74" t="str">
        <x:v>ACC-007</x:v>
      </x:c>
      <x:c r="B30" s="74" t="str">
        <x:v>Everyday Accessorie</x:v>
      </x:c>
      <x:c r="C30" s="74" t="str">
        <x:v>Accessories</x:v>
      </x:c>
      <x:c r="D30" s="74" t="str">
        <x:v>Trend</x:v>
      </x:c>
      <x:c r="E30" s="74" t="str">
        <x:v>SUP-004</x:v>
      </x:c>
      <x:c r="F30" s="74" t="n">
        <x:v>11879.01</x:v>
      </x:c>
      <x:c r="G30" s="74" t="n">
        <x:v>11762</x:v>
      </x:c>
      <x:c r="H30" s="74" t="n">
        <x:v>117.01</x:v>
      </x:c>
      <x:c r="I30" s="85" t="n">
        <x:v>14560321.3</x:v>
      </x:c>
      <x:c r="J30" s="85" t="n">
        <x:v>9656273.02</x:v>
      </x:c>
      <x:c r="K30" s="74" t="str">
        <x:v>Gradient Boosting</x:v>
      </x:c>
      <x:c r="L30" s="80" t="n">
        <x:v>0.132096</x:v>
      </x:c>
      <x:c r="M30" s="80" t="n">
        <x:v>0.007766</x:v>
      </x:c>
      <x:c r="N30" s="74" t="n">
        <x:v>5.858</x:v>
      </x:c>
      <x:c r="O30" s="74" t="n">
        <x:v>0</x:v>
      </x:c>
      <x:c r="P30" s="85" t="n">
        <x:v>0</x:v>
      </x:c>
      <x:c r="Q30" s="74" t="str">
        <x:v>HEALTHY</x:v>
      </x:c>
      <x:c r="R30" s="80" t="n">
        <x:v>0.990149852555053</x:v>
      </x:c>
      <x:c r="S30" s="80" t="n">
        <x:v>0.6631909297221346</x:v>
      </x:c>
    </x:row>
    <x:row r="31" ht="15" hidden="0" customHeight="1">
      <x:c r="A31" s="74" t="str">
        <x:v>BOT-003</x:v>
      </x:c>
      <x:c r="B31" s="74" t="str">
        <x:v>Straight Bottom</x:v>
      </x:c>
      <x:c r="C31" s="74" t="str">
        <x:v>Bottoms</x:v>
      </x:c>
      <x:c r="D31" s="74" t="str">
        <x:v>Premium</x:v>
      </x:c>
      <x:c r="E31" s="74" t="str">
        <x:v>SUP-006</x:v>
      </x:c>
      <x:c r="F31" s="74" t="n">
        <x:v>11366.99</x:v>
      </x:c>
      <x:c r="G31" s="74" t="n">
        <x:v>11194</x:v>
      </x:c>
      <x:c r="H31" s="74" t="n">
        <x:v>172.99</x:v>
      </x:c>
      <x:c r="I31" s="85" t="n">
        <x:v>14345388.8</x:v>
      </x:c>
      <x:c r="J31" s="85" t="n">
        <x:v>8457792.56</x:v>
      </x:c>
      <x:c r="K31" s="74" t="str">
        <x:v>Gradient Boosting</x:v>
      </x:c>
      <x:c r="L31" s="80" t="n">
        <x:v>0.151531</x:v>
      </x:c>
      <x:c r="M31" s="80" t="n">
        <x:v>-0.070327</x:v>
      </x:c>
      <x:c r="N31" s="74" t="n">
        <x:v>8.148</x:v>
      </x:c>
      <x:c r="O31" s="74" t="n">
        <x:v>0</x:v>
      </x:c>
      <x:c r="P31" s="85" t="n">
        <x:v>0</x:v>
      </x:c>
      <x:c r="Q31" s="74" t="str">
        <x:v>HEALTHY</x:v>
      </x:c>
      <x:c r="R31" s="80" t="n">
        <x:v>0.9847813713216955</x:v>
      </x:c>
      <x:c r="S31" s="80" t="n">
        <x:v>0.5895826650581962</x:v>
      </x:c>
    </x:row>
    <x:row r="32" ht="15" hidden="0" customHeight="1">
      <x:c r="A32" s="74" t="str">
        <x:v>OUT-006</x:v>
      </x:c>
      <x:c r="B32" s="74" t="str">
        <x:v>Belted Outerwear</x:v>
      </x:c>
      <x:c r="C32" s="74" t="str">
        <x:v>Outerwear</x:v>
      </x:c>
      <x:c r="D32" s="74" t="str">
        <x:v>Core</x:v>
      </x:c>
      <x:c r="E32" s="74" t="str">
        <x:v>SUP-005</x:v>
      </x:c>
      <x:c r="F32" s="74" t="n">
        <x:v>4452</x:v>
      </x:c>
      <x:c r="G32" s="74" t="n">
        <x:v>4127</x:v>
      </x:c>
      <x:c r="H32" s="74" t="n">
        <x:v>325</x:v>
      </x:c>
      <x:c r="I32" s="85" t="n">
        <x:v>13982905.2</x:v>
      </x:c>
      <x:c r="J32" s="85" t="n">
        <x:v>6496403.39</x:v>
      </x:c>
      <x:c r="K32" s="74" t="str">
        <x:v>Gradient Boosting</x:v>
      </x:c>
      <x:c r="L32" s="80" t="n">
        <x:v>0.220625</x:v>
      </x:c>
      <x:c r="M32" s="80" t="n">
        <x:v>-0.048154</x:v>
      </x:c>
      <x:c r="N32" s="74" t="n">
        <x:v>7.967</x:v>
      </x:c>
      <x:c r="O32" s="74" t="n">
        <x:v>100</x:v>
      </x:c>
      <x:c r="P32" s="85" t="n">
        <x:v>181403</x:v>
      </x:c>
      <x:c r="Q32" s="74" t="str">
        <x:v>HEALTHY</x:v>
      </x:c>
      <x:c r="R32" s="80" t="n">
        <x:v>0.9269991015274034</x:v>
      </x:c>
      <x:c r="S32" s="80" t="n">
        <x:v>0.46459611197249623</x:v>
      </x:c>
    </x:row>
    <x:row r="33" ht="15" hidden="0" customHeight="1">
      <x:c r="A33" s="74" t="str">
        <x:v>DRE-001</x:v>
      </x:c>
      <x:c r="B33" s="74" t="str">
        <x:v>Satin Dresse</x:v>
      </x:c>
      <x:c r="C33" s="74" t="str">
        <x:v>Dresses</x:v>
      </x:c>
      <x:c r="D33" s="74" t="str">
        <x:v>Premium</x:v>
      </x:c>
      <x:c r="E33" s="74" t="str">
        <x:v>SUP-004</x:v>
      </x:c>
      <x:c r="F33" s="74" t="n">
        <x:v>13854</x:v>
      </x:c>
      <x:c r="G33" s="74" t="n">
        <x:v>5213</x:v>
      </x:c>
      <x:c r="H33" s="74" t="n">
        <x:v>8641</x:v>
      </x:c>
      <x:c r="I33" s="85" t="n">
        <x:v>13856812.5</x:v>
      </x:c>
      <x:c r="J33" s="85" t="n">
        <x:v>7982022.15</x:v>
      </x:c>
      <x:c r="K33" s="74" t="str">
        <x:v>Gradient Boosting</x:v>
      </x:c>
      <x:c r="L33" s="80" t="n">
        <x:v>0.188583</x:v>
      </x:c>
      <x:c r="M33" s="80" t="n">
        <x:v>-0.01009</x:v>
      </x:c>
      <x:c r="N33" s="74" t="n">
        <x:v>6.27</x:v>
      </x:c>
      <x:c r="O33" s="74" t="n">
        <x:v>0</x:v>
      </x:c>
      <x:c r="P33" s="85" t="n">
        <x:v>0</x:v>
      </x:c>
      <x:c r="Q33" s="74" t="str">
        <x:v>HEALTHY</x:v>
      </x:c>
      <x:c r="R33" s="80" t="n">
        <x:v>0.37628121842067275</x:v>
      </x:c>
      <x:c r="S33" s="80" t="n">
        <x:v>0.5760359498261235</x:v>
      </x:c>
    </x:row>
    <x:row r="34" ht="15" hidden="0" customHeight="1">
      <x:c r="A34" s="74" t="str">
        <x:v>BOT-002</x:v>
      </x:c>
      <x:c r="B34" s="74" t="str">
        <x:v>Wide-Leg Bottom</x:v>
      </x:c>
      <x:c r="C34" s="74" t="str">
        <x:v>Bottoms</x:v>
      </x:c>
      <x:c r="D34" s="74" t="str">
        <x:v>Trend</x:v>
      </x:c>
      <x:c r="E34" s="74" t="str">
        <x:v>SUP-005</x:v>
      </x:c>
      <x:c r="F34" s="74" t="n">
        <x:v>11882.01</x:v>
      </x:c>
      <x:c r="G34" s="74" t="n">
        <x:v>11455</x:v>
      </x:c>
      <x:c r="H34" s="74" t="n">
        <x:v>427.01</x:v>
      </x:c>
      <x:c r="I34" s="85" t="n">
        <x:v>13479762.5</x:v>
      </x:c>
      <x:c r="J34" s="85" t="n">
        <x:v>7766352.15</x:v>
      </x:c>
      <x:c r="K34" s="74" t="str">
        <x:v>Gradient Boosting</x:v>
      </x:c>
      <x:c r="L34" s="80" t="n">
        <x:v>0.177453</x:v>
      </x:c>
      <x:c r="M34" s="80" t="n">
        <x:v>-0.072764</x:v>
      </x:c>
      <x:c r="N34" s="74" t="n">
        <x:v>8.095</x:v>
      </x:c>
      <x:c r="O34" s="74" t="n">
        <x:v>152</x:v>
      </x:c>
      <x:c r="P34" s="85" t="n">
        <x:v>75813.04</x:v>
      </x:c>
      <x:c r="Q34" s="74" t="str">
        <x:v>HEALTHY</x:v>
      </x:c>
      <x:c r="R34" s="80" t="n">
        <x:v>0.9640624776447756</x:v>
      </x:c>
      <x:c r="S34" s="80" t="n">
        <x:v>0.5761490345249035</x:v>
      </x:c>
    </x:row>
    <x:row r="35" ht="15" hidden="0" customHeight="1">
      <x:c r="A35" s="74" t="str">
        <x:v>OUT-004</x:v>
      </x:c>
      <x:c r="B35" s="74" t="str">
        <x:v>Tailored Outerwear</x:v>
      </x:c>
      <x:c r="C35" s="74" t="str">
        <x:v>Outerwear</x:v>
      </x:c>
      <x:c r="D35" s="74" t="str">
        <x:v>Core</x:v>
      </x:c>
      <x:c r="E35" s="74" t="str">
        <x:v>SUP-003</x:v>
      </x:c>
      <x:c r="F35" s="74" t="n">
        <x:v>4335.01</x:v>
      </x:c>
      <x:c r="G35" s="74" t="n">
        <x:v>4170</x:v>
      </x:c>
      <x:c r="H35" s="74" t="n">
        <x:v>165.01</x:v>
      </x:c>
      <x:c r="I35" s="85" t="n">
        <x:v>13297226.8</x:v>
      </x:c>
      <x:c r="J35" s="85" t="n">
        <x:v>6810791.8</x:v>
      </x:c>
      <x:c r="K35" s="74" t="str">
        <x:v>Gradient Boosting</x:v>
      </x:c>
      <x:c r="L35" s="80" t="n">
        <x:v>0.161421</x:v>
      </x:c>
      <x:c r="M35" s="80" t="n">
        <x:v>0.037323</x:v>
      </x:c>
      <x:c r="N35" s="74" t="n">
        <x:v>7.105</x:v>
      </x:c>
      <x:c r="O35" s="74" t="n">
        <x:v>0</x:v>
      </x:c>
      <x:c r="P35" s="85" t="n">
        <x:v>0</x:v>
      </x:c>
      <x:c r="Q35" s="74" t="str">
        <x:v>HEALTHY</x:v>
      </x:c>
      <x:c r="R35" s="80" t="n">
        <x:v>0.9619354972652888</x:v>
      </x:c>
      <x:c r="S35" s="80" t="n">
        <x:v>0.5121964077502235</x:v>
      </x:c>
    </x:row>
    <x:row r="36" ht="15" hidden="0" customHeight="1">
      <x:c r="A36" s="74" t="str">
        <x:v>TOP-001</x:v>
      </x:c>
      <x:c r="B36" s="74" t="str">
        <x:v>Silk Top</x:v>
      </x:c>
      <x:c r="C36" s="74" t="str">
        <x:v>Tops</x:v>
      </x:c>
      <x:c r="D36" s="74" t="str">
        <x:v>Trend</x:v>
      </x:c>
      <x:c r="E36" s="74" t="str">
        <x:v>SUP-002</x:v>
      </x:c>
      <x:c r="F36" s="74" t="n">
        <x:v>11745.99</x:v>
      </x:c>
      <x:c r="G36" s="74" t="n">
        <x:v>11599</x:v>
      </x:c>
      <x:c r="H36" s="74" t="n">
        <x:v>146.99</x:v>
      </x:c>
      <x:c r="I36" s="85" t="n">
        <x:v>12711933</x:v>
      </x:c>
      <x:c r="J36" s="85" t="n">
        <x:v>8027792.84</x:v>
      </x:c>
      <x:c r="K36" s="74" t="str">
        <x:v>Gradient Boosting</x:v>
      </x:c>
      <x:c r="L36" s="80" t="n">
        <x:v>0.099444</x:v>
      </x:c>
      <x:c r="M36" s="80" t="n">
        <x:v>-0.019025</x:v>
      </x:c>
      <x:c r="N36" s="74" t="n">
        <x:v>8.074</x:v>
      </x:c>
      <x:c r="O36" s="74" t="n">
        <x:v>0</x:v>
      </x:c>
      <x:c r="P36" s="85" t="n">
        <x:v>0</x:v>
      </x:c>
      <x:c r="Q36" s="74" t="str">
        <x:v>HEALTHY</x:v>
      </x:c>
      <x:c r="R36" s="80" t="n">
        <x:v>0.9874859420108479</x:v>
      </x:c>
      <x:c r="S36" s="80" t="n">
        <x:v>0.6315162957514014</x:v>
      </x:c>
    </x:row>
    <x:row r="37" ht="15" hidden="0" customHeight="1">
      <x:c r="A37" s="74" t="str">
        <x:v>ACC-009</x:v>
      </x:c>
      <x:c r="B37" s="74" t="str">
        <x:v>Classic Accessorie</x:v>
      </x:c>
      <x:c r="C37" s="74" t="str">
        <x:v>Accessories</x:v>
      </x:c>
      <x:c r="D37" s="74" t="str">
        <x:v>Premium</x:v>
      </x:c>
      <x:c r="E37" s="74" t="str">
        <x:v>SUP-006</x:v>
      </x:c>
      <x:c r="F37" s="74" t="n">
        <x:v>11365.99</x:v>
      </x:c>
      <x:c r="G37" s="74" t="n">
        <x:v>10717</x:v>
      </x:c>
      <x:c r="H37" s="74" t="n">
        <x:v>648.99</x:v>
      </x:c>
      <x:c r="I37" s="85" t="n">
        <x:v>12026928</x:v>
      </x:c>
      <x:c r="J37" s="85" t="n">
        <x:v>7837224.02</x:v>
      </x:c>
      <x:c r="K37" s="74" t="str">
        <x:v>Gradient Boosting</x:v>
      </x:c>
      <x:c r="L37" s="80" t="n">
        <x:v>0.135296</x:v>
      </x:c>
      <x:c r="M37" s="80" t="n">
        <x:v>-0.022026</x:v>
      </x:c>
      <x:c r="N37" s="74" t="n">
        <x:v>5.723</x:v>
      </x:c>
      <x:c r="O37" s="74" t="n">
        <x:v>180</x:v>
      </x:c>
      <x:c r="P37" s="85" t="n">
        <x:v>70369.2</x:v>
      </x:c>
      <x:c r="Q37" s="74" t="str">
        <x:v>HEALTHY</x:v>
      </x:c>
      <x:c r="R37" s="80" t="n">
        <x:v>0.9429007064056892</x:v>
      </x:c>
      <x:c r="S37" s="80" t="n">
        <x:v>0.6516397221302065</x:v>
      </x:c>
    </x:row>
    <x:row r="38" ht="15" hidden="0" customHeight="1">
      <x:c r="A38" s="74" t="str">
        <x:v>KNI-004</x:v>
      </x:c>
      <x:c r="B38" s="74" t="str">
        <x:v>Ribbed Knitwear</x:v>
      </x:c>
      <x:c r="C38" s="74" t="str">
        <x:v>Knitwear</x:v>
      </x:c>
      <x:c r="D38" s="74" t="str">
        <x:v>Core</x:v>
      </x:c>
      <x:c r="E38" s="74" t="str">
        <x:v>SUP-001</x:v>
      </x:c>
      <x:c r="F38" s="74" t="n">
        <x:v>9072.99</x:v>
      </x:c>
      <x:c r="G38" s="74" t="n">
        <x:v>8763</x:v>
      </x:c>
      <x:c r="H38" s="74" t="n">
        <x:v>309.99</x:v>
      </x:c>
      <x:c r="I38" s="85" t="n">
        <x:v>11888108.4</x:v>
      </x:c>
      <x:c r="J38" s="85" t="n">
        <x:v>6420522.18</x:v>
      </x:c>
      <x:c r="K38" s="74" t="str">
        <x:v>Gradient Boosting</x:v>
      </x:c>
      <x:c r="L38" s="80" t="n">
        <x:v>0.103222</x:v>
      </x:c>
      <x:c r="M38" s="80" t="n">
        <x:v>-0.072207</x:v>
      </x:c>
      <x:c r="N38" s="74" t="n">
        <x:v>6.402</x:v>
      </x:c>
      <x:c r="O38" s="74" t="n">
        <x:v>0</x:v>
      </x:c>
      <x:c r="P38" s="85" t="n">
        <x:v>0</x:v>
      </x:c>
      <x:c r="Q38" s="74" t="str">
        <x:v>HEALTHY</x:v>
      </x:c>
      <x:c r="R38" s="80" t="n">
        <x:v>0.9658337549143117</x:v>
      </x:c>
      <x:c r="S38" s="80" t="n">
        <x:v>0.5400793771362313</x:v>
      </x:c>
    </x:row>
    <x:row r="39" ht="15" hidden="0" customHeight="1">
      <x:c r="A39" s="74" t="str">
        <x:v>OUT-008</x:v>
      </x:c>
      <x:c r="B39" s="74" t="str">
        <x:v>Classic Outerwear</x:v>
      </x:c>
      <x:c r="C39" s="74" t="str">
        <x:v>Outerwear</x:v>
      </x:c>
      <x:c r="D39" s="74" t="str">
        <x:v>Core</x:v>
      </x:c>
      <x:c r="E39" s="74" t="str">
        <x:v>SUP-007</x:v>
      </x:c>
      <x:c r="F39" s="74" t="n">
        <x:v>4393.02</x:v>
      </x:c>
      <x:c r="G39" s="74" t="n">
        <x:v>4165</x:v>
      </x:c>
      <x:c r="H39" s="74" t="n">
        <x:v>228.01999999999998</x:v>
      </x:c>
      <x:c r="I39" s="85" t="n">
        <x:v>11800638</x:v>
      </x:c>
      <x:c r="J39" s="85" t="n">
        <x:v>6216372.600000001</x:v>
      </x:c>
      <x:c r="K39" s="74" t="str">
        <x:v>Gradient Boosting</x:v>
      </x:c>
      <x:c r="L39" s="80" t="n">
        <x:v>0.217567</x:v>
      </x:c>
      <x:c r="M39" s="80" t="n">
        <x:v>-0.027516</x:v>
      </x:c>
      <x:c r="N39" s="74" t="n">
        <x:v>5.768</x:v>
      </x:c>
      <x:c r="O39" s="74" t="n">
        <x:v>114</x:v>
      </x:c>
      <x:c r="P39" s="85" t="n">
        <x:v>152846.64</x:v>
      </x:c>
      <x:c r="Q39" s="74" t="str">
        <x:v>MONITOR</x:v>
      </x:c>
      <x:c r="R39" s="80" t="n">
        <x:v>0.9480949324155136</x:v>
      </x:c>
      <x:c r="S39" s="80" t="n">
        <x:v>0.5267827553052641</x:v>
      </x:c>
    </x:row>
    <x:row r="40" ht="15" hidden="0" customHeight="1">
      <x:c r="A40" s="74" t="str">
        <x:v>ACC-010</x:v>
      </x:c>
      <x:c r="B40" s="74" t="str">
        <x:v>Luxe Accessorie</x:v>
      </x:c>
      <x:c r="C40" s="74" t="str">
        <x:v>Accessories</x:v>
      </x:c>
      <x:c r="D40" s="74" t="str">
        <x:v>Core</x:v>
      </x:c>
      <x:c r="E40" s="74" t="str">
        <x:v>SUP-007</x:v>
      </x:c>
      <x:c r="F40" s="74" t="n">
        <x:v>13040.99</x:v>
      </x:c>
      <x:c r="G40" s="74" t="n">
        <x:v>11988</x:v>
      </x:c>
      <x:c r="H40" s="74" t="n">
        <x:v>1052.99</x:v>
      </x:c>
      <x:c r="I40" s="85" t="n">
        <x:v>11554694.5</x:v>
      </x:c>
      <x:c r="J40" s="85" t="n">
        <x:v>7497236.0200000005</x:v>
      </x:c>
      <x:c r="K40" s="74" t="str">
        <x:v>Gradient Boosting</x:v>
      </x:c>
      <x:c r="L40" s="80" t="n">
        <x:v>0.151957</x:v>
      </x:c>
      <x:c r="M40" s="80" t="n">
        <x:v>-0.011391</x:v>
      </x:c>
      <x:c r="N40" s="74" t="n">
        <x:v>5.872</x:v>
      </x:c>
      <x:c r="O40" s="74" t="n">
        <x:v>272</x:v>
      </x:c>
      <x:c r="P40" s="85" t="n">
        <x:v>92061.12</x:v>
      </x:c>
      <x:c r="Q40" s="74" t="str">
        <x:v>MONITOR</x:v>
      </x:c>
      <x:c r="R40" s="80" t="n">
        <x:v>0.9192553632814687</x:v>
      </x:c>
      <x:c r="S40" s="80" t="n">
        <x:v>0.648847619467568</x:v>
      </x:c>
    </x:row>
    <x:row r="41" ht="15" hidden="0" customHeight="1">
      <x:c r="A41" s="74" t="str">
        <x:v>ACC-001</x:v>
      </x:c>
      <x:c r="B41" s="74" t="str">
        <x:v>Leather Accessorie</x:v>
      </x:c>
      <x:c r="C41" s="74" t="str">
        <x:v>Accessories</x:v>
      </x:c>
      <x:c r="D41" s="74" t="str">
        <x:v>Premium</x:v>
      </x:c>
      <x:c r="E41" s="74" t="str">
        <x:v>SUP-006</x:v>
      </x:c>
      <x:c r="F41" s="74" t="n">
        <x:v>12889.99</x:v>
      </x:c>
      <x:c r="G41" s="74" t="n">
        <x:v>12346</x:v>
      </x:c>
      <x:c r="H41" s="74" t="n">
        <x:v>543.99</x:v>
      </x:c>
      <x:c r="I41" s="85" t="n">
        <x:v>11069107.2</x:v>
      </x:c>
      <x:c r="J41" s="85" t="n">
        <x:v>6916777.02</x:v>
      </x:c>
      <x:c r="K41" s="74" t="str">
        <x:v>Gradient Boosting</x:v>
      </x:c>
      <x:c r="L41" s="80" t="n">
        <x:v>0.168206</x:v>
      </x:c>
      <x:c r="M41" s="80" t="n">
        <x:v>-0.000983</x:v>
      </x:c>
      <x:c r="N41" s="74" t="n">
        <x:v>6.204</x:v>
      </x:c>
      <x:c r="O41" s="74" t="n">
        <x:v>170</x:v>
      </x:c>
      <x:c r="P41" s="85" t="n">
        <x:v>57176.1</x:v>
      </x:c>
      <x:c r="Q41" s="74" t="str">
        <x:v>HEALTHY</x:v>
      </x:c>
      <x:c r="R41" s="80" t="n">
        <x:v>0.9577974847148835</x:v>
      </x:c>
      <x:c r="S41" s="80" t="n">
        <x:v>0.6248721685521303</x:v>
      </x:c>
    </x:row>
    <x:row r="42" ht="15" hidden="0" customHeight="1">
      <x:c r="A42" s="74" t="str">
        <x:v>TOP-003</x:v>
      </x:c>
      <x:c r="B42" s="74" t="str">
        <x:v>Linen Top</x:v>
      </x:c>
      <x:c r="C42" s="74" t="str">
        <x:v>Tops</x:v>
      </x:c>
      <x:c r="D42" s="74" t="str">
        <x:v>Trend</x:v>
      </x:c>
      <x:c r="E42" s="74" t="str">
        <x:v>SUP-004</x:v>
      </x:c>
      <x:c r="F42" s="74" t="n">
        <x:v>12243</x:v>
      </x:c>
      <x:c r="G42" s="74" t="n">
        <x:v>12226</x:v>
      </x:c>
      <x:c r="H42" s="74" t="n">
        <x:v>17</x:v>
      </x:c>
      <x:c r="I42" s="85" t="n">
        <x:v>11008963.2</x:v>
      </x:c>
      <x:c r="J42" s="85" t="n">
        <x:v>6807498.3</x:v>
      </x:c>
      <x:c r="K42" s="74" t="str">
        <x:v>Gradient Boosting</x:v>
      </x:c>
      <x:c r="L42" s="80" t="n">
        <x:v>0.124157</x:v>
      </x:c>
      <x:c r="M42" s="80" t="n">
        <x:v>-0.001109</x:v>
      </x:c>
      <x:c r="N42" s="74" t="n">
        <x:v>1.252</x:v>
      </x:c>
      <x:c r="O42" s="74" t="n">
        <x:v>354</x:v>
      </x:c>
      <x:c r="P42" s="85" t="n">
        <x:v>121652.1</x:v>
      </x:c>
      <x:c r="Q42" s="74" t="str">
        <x:v>ORDER NOW</x:v>
      </x:c>
      <x:c r="R42" s="80" t="n">
        <x:v>0.9986114514416401</x:v>
      </x:c>
      <x:c r="S42" s="80" t="n">
        <x:v>0.6183596199140715</x:v>
      </x:c>
    </x:row>
    <x:row r="43" ht="15" hidden="0" customHeight="1">
      <x:c r="A43" s="74" t="str">
        <x:v>KNI-001</x:v>
      </x:c>
      <x:c r="B43" s="74" t="str">
        <x:v>Merino Knitwear</x:v>
      </x:c>
      <x:c r="C43" s="74" t="str">
        <x:v>Knitwear</x:v>
      </x:c>
      <x:c r="D43" s="74" t="str">
        <x:v>Core</x:v>
      </x:c>
      <x:c r="E43" s="74" t="str">
        <x:v>SUP-006</x:v>
      </x:c>
      <x:c r="F43" s="74" t="n">
        <x:v>11741</x:v>
      </x:c>
      <x:c r="G43" s="74" t="n">
        <x:v>10995</x:v>
      </x:c>
      <x:c r="H43" s="74" t="n">
        <x:v>746</x:v>
      </x:c>
      <x:c r="I43" s="85" t="n">
        <x:v>10981634.7</x:v>
      </x:c>
      <x:c r="J43" s="85" t="n">
        <x:v>6312058.2</x:v>
      </x:c>
      <x:c r="K43" s="74" t="str">
        <x:v>Gradient Boosting</x:v>
      </x:c>
      <x:c r="L43" s="80" t="n">
        <x:v>0.160181</x:v>
      </x:c>
      <x:c r="M43" s="80" t="n">
        <x:v>-0.074503</x:v>
      </x:c>
      <x:c r="N43" s="74" t="n">
        <x:v>4.266</x:v>
      </x:c>
      <x:c r="O43" s="74" t="n">
        <x:v>296</x:v>
      </x:c>
      <x:c r="P43" s="85" t="n">
        <x:v>125711.2</x:v>
      </x:c>
      <x:c r="Q43" s="74" t="str">
        <x:v>MONITOR</x:v>
      </x:c>
      <x:c r="R43" s="80" t="n">
        <x:v>0.9364619708713057</x:v>
      </x:c>
      <x:c r="S43" s="80" t="n">
        <x:v>0.5747831149400736</x:v>
      </x:c>
    </x:row>
    <x:row r="44" ht="15" hidden="0" customHeight="1">
      <x:c r="A44" s="74" t="str">
        <x:v>ACC-004</x:v>
      </x:c>
      <x:c r="B44" s="74" t="str">
        <x:v>Minimal Accessorie</x:v>
      </x:c>
      <x:c r="C44" s="74" t="str">
        <x:v>Accessories</x:v>
      </x:c>
      <x:c r="D44" s="74" t="str">
        <x:v>Core</x:v>
      </x:c>
      <x:c r="E44" s="74" t="str">
        <x:v>SUP-001</x:v>
      </x:c>
      <x:c r="F44" s="74" t="n">
        <x:v>11809.01</x:v>
      </x:c>
      <x:c r="G44" s="74" t="n">
        <x:v>11270</x:v>
      </x:c>
      <x:c r="H44" s="74" t="n">
        <x:v>539.01</x:v>
      </x:c>
      <x:c r="I44" s="85" t="n">
        <x:v>10734765.6</x:v>
      </x:c>
      <x:c r="J44" s="85" t="n">
        <x:v>7110108.2</x:v>
      </x:c>
      <x:c r="K44" s="74" t="str">
        <x:v>Gradient Boosting</x:v>
      </x:c>
      <x:c r="L44" s="80" t="n">
        <x:v>0.114769</x:v>
      </x:c>
      <x:c r="M44" s="80" t="n">
        <x:v>-0.037512</x:v>
      </x:c>
      <x:c r="N44" s="74" t="n">
        <x:v>5.153</x:v>
      </x:c>
      <x:c r="O44" s="74" t="n">
        <x:v>72</x:v>
      </x:c>
      <x:c r="P44" s="85" t="n">
        <x:v>23156.64</x:v>
      </x:c>
      <x:c r="Q44" s="74" t="str">
        <x:v>HEALTHY</x:v>
      </x:c>
      <x:c r="R44" s="80" t="n">
        <x:v>0.9543560383131185</x:v>
      </x:c>
      <x:c r="S44" s="80" t="n">
        <x:v>0.6623440571445733</x:v>
      </x:c>
    </x:row>
    <x:row r="45" ht="15" hidden="0" customHeight="1">
      <x:c r="A45" s="74" t="str">
        <x:v>KNI-009</x:v>
      </x:c>
      <x:c r="B45" s="74" t="str">
        <x:v>Crew Knitwear</x:v>
      </x:c>
      <x:c r="C45" s="74" t="str">
        <x:v>Knitwear</x:v>
      </x:c>
      <x:c r="D45" s="74" t="str">
        <x:v>Trend</x:v>
      </x:c>
      <x:c r="E45" s="74" t="str">
        <x:v>SUP-006</x:v>
      </x:c>
      <x:c r="F45" s="74" t="n">
        <x:v>9631</x:v>
      </x:c>
      <x:c r="G45" s="74" t="n">
        <x:v>9174</x:v>
      </x:c>
      <x:c r="H45" s="74" t="n">
        <x:v>457</x:v>
      </x:c>
      <x:c r="I45" s="85" t="n">
        <x:v>10493511.3</x:v>
      </x:c>
      <x:c r="J45" s="85" t="n">
        <x:v>6422090.1</x:v>
      </x:c>
      <x:c r="K45" s="74" t="str">
        <x:v>Gradient Boosting</x:v>
      </x:c>
      <x:c r="L45" s="80" t="n">
        <x:v>0.152326</x:v>
      </x:c>
      <x:c r="M45" s="80" t="n">
        <x:v>-0.054316</x:v>
      </x:c>
      <x:c r="N45" s="74" t="n">
        <x:v>3.32</x:v>
      </x:c>
      <x:c r="O45" s="74" t="n">
        <x:v>336</x:v>
      </x:c>
      <x:c r="P45" s="85" t="n">
        <x:v>149116.8</x:v>
      </x:c>
      <x:c r="Q45" s="74" t="str">
        <x:v>ORDER NOW</x:v>
      </x:c>
      <x:c r="R45" s="80" t="n">
        <x:v>0.9525490603260305</x:v>
      </x:c>
      <x:c r="S45" s="80" t="n">
        <x:v>0.6120058306889133</x:v>
      </x:c>
    </x:row>
    <x:row r="46" ht="15" hidden="0" customHeight="1">
      <x:c r="A46" s="74" t="str">
        <x:v>ACC-008</x:v>
      </x:c>
      <x:c r="B46" s="74" t="str">
        <x:v>Statement Accessorie</x:v>
      </x:c>
      <x:c r="C46" s="74" t="str">
        <x:v>Accessories</x:v>
      </x:c>
      <x:c r="D46" s="74" t="str">
        <x:v>Trend</x:v>
      </x:c>
      <x:c r="E46" s="74" t="str">
        <x:v>SUP-005</x:v>
      </x:c>
      <x:c r="F46" s="74" t="n">
        <x:v>14091.01</x:v>
      </x:c>
      <x:c r="G46" s="74" t="n">
        <x:v>12759</x:v>
      </x:c>
      <x:c r="H46" s="74" t="n">
        <x:v>1332.01</x:v>
      </x:c>
      <x:c r="I46" s="85" t="n">
        <x:v>10267221.8</x:v>
      </x:c>
      <x:c r="J46" s="85" t="n">
        <x:v>6661911.17</x:v>
      </x:c>
      <x:c r="K46" s="74" t="str">
        <x:v>Gradient Boosting</x:v>
      </x:c>
      <x:c r="L46" s="80" t="n">
        <x:v>0.177239</x:v>
      </x:c>
      <x:c r="M46" s="80" t="n">
        <x:v>-0.091563</x:v>
      </x:c>
      <x:c r="N46" s="74" t="n">
        <x:v>8.88</x:v>
      </x:c>
      <x:c r="O46" s="74" t="n">
        <x:v>132</x:v>
      </x:c>
      <x:c r="P46" s="85" t="n">
        <x:v>37299.24</x:v>
      </x:c>
      <x:c r="Q46" s="74" t="str">
        <x:v>HEALTHY</x:v>
      </x:c>
      <x:c r="R46" s="80" t="n">
        <x:v>0.9054709350145944</x:v>
      </x:c>
      <x:c r="S46" s="80" t="n">
        <x:v>0.6488523672489475</x:v>
      </x:c>
    </x:row>
    <x:row r="47" ht="15" hidden="0" customHeight="1">
      <x:c r="A47" s="74" t="str">
        <x:v>TOP-010</x:v>
      </x:c>
      <x:c r="B47" s="74" t="str">
        <x:v>Signature Top</x:v>
      </x:c>
      <x:c r="C47" s="74" t="str">
        <x:v>Tops</x:v>
      </x:c>
      <x:c r="D47" s="74" t="str">
        <x:v>Core</x:v>
      </x:c>
      <x:c r="E47" s="74" t="str">
        <x:v>SUP-003</x:v>
      </x:c>
      <x:c r="F47" s="74" t="n">
        <x:v>15166</x:v>
      </x:c>
      <x:c r="G47" s="74" t="n">
        <x:v>15050</x:v>
      </x:c>
      <x:c r="H47" s="74" t="n">
        <x:v>116</x:v>
      </x:c>
      <x:c r="I47" s="85" t="n">
        <x:v>9985170.2</x:v>
      </x:c>
      <x:c r="J47" s="85" t="n">
        <x:v>6307853.2</x:v>
      </x:c>
      <x:c r="K47" s="74" t="str">
        <x:v>Gradient Boosting</x:v>
      </x:c>
      <x:c r="L47" s="80" t="n">
        <x:v>0.141975</x:v>
      </x:c>
      <x:c r="M47" s="80" t="n">
        <x:v>-0.006665</x:v>
      </x:c>
      <x:c r="N47" s="74" t="n">
        <x:v>4.789</x:v>
      </x:c>
      <x:c r="O47" s="74" t="n">
        <x:v>184</x:v>
      </x:c>
      <x:c r="P47" s="85" t="n">
        <x:v>44958.56</x:v>
      </x:c>
      <x:c r="Q47" s="74" t="str">
        <x:v>HEALTHY</x:v>
      </x:c>
      <x:c r="R47" s="80" t="n">
        <x:v>0.9923513121455888</x:v>
      </x:c>
      <x:c r="S47" s="80" t="n">
        <x:v>0.6317221513159587</x:v>
      </x:c>
    </x:row>
    <x:row r="48" ht="15" hidden="0" customHeight="1">
      <x:c r="A48" s="74" t="str">
        <x:v>BOT-010</x:v>
      </x:c>
      <x:c r="B48" s="74" t="str">
        <x:v>Studio Bottom</x:v>
      </x:c>
      <x:c r="C48" s="74" t="str">
        <x:v>Bottoms</x:v>
      </x:c>
      <x:c r="D48" s="74" t="str">
        <x:v>Core</x:v>
      </x:c>
      <x:c r="E48" s="74" t="str">
        <x:v>SUP-005</x:v>
      </x:c>
      <x:c r="F48" s="74" t="n">
        <x:v>8205.99</x:v>
      </x:c>
      <x:c r="G48" s="74" t="n">
        <x:v>7884</x:v>
      </x:c>
      <x:c r="H48" s="74" t="n">
        <x:v>321.99</x:v>
      </x:c>
      <x:c r="I48" s="85" t="n">
        <x:v>9668529</x:v>
      </x:c>
      <x:c r="J48" s="85" t="n">
        <x:v>5354246.5200000005</x:v>
      </x:c>
      <x:c r="K48" s="74" t="str">
        <x:v>Gradient Boosting</x:v>
      </x:c>
      <x:c r="L48" s="80" t="n">
        <x:v>0.164651</x:v>
      </x:c>
      <x:c r="M48" s="80" t="n">
        <x:v>-0.006602</x:v>
      </x:c>
      <x:c r="N48" s="74" t="n">
        <x:v>7.886</x:v>
      </x:c>
      <x:c r="O48" s="74" t="n">
        <x:v>140</x:v>
      </x:c>
      <x:c r="P48" s="85" t="n">
        <x:v>76610.8</x:v>
      </x:c>
      <x:c r="Q48" s="74" t="str">
        <x:v>HEALTHY</x:v>
      </x:c>
      <x:c r="R48" s="80" t="n">
        <x:v>0.9607615900092493</x:v>
      </x:c>
      <x:c r="S48" s="80" t="n">
        <x:v>0.553780882283127</x:v>
      </x:c>
    </x:row>
    <x:row r="49" ht="15" hidden="0" customHeight="1">
      <x:c r="A49" s="74" t="str">
        <x:v>KNI-005</x:v>
      </x:c>
      <x:c r="B49" s="74" t="str">
        <x:v>Mockneck Knitwear</x:v>
      </x:c>
      <x:c r="C49" s="74" t="str">
        <x:v>Knitwear</x:v>
      </x:c>
      <x:c r="D49" s="74" t="str">
        <x:v>Trend</x:v>
      </x:c>
      <x:c r="E49" s="74" t="str">
        <x:v>SUP-002</x:v>
      </x:c>
      <x:c r="F49" s="74" t="n">
        <x:v>10431</x:v>
      </x:c>
      <x:c r="G49" s="74" t="n">
        <x:v>9795</x:v>
      </x:c>
      <x:c r="H49" s="74" t="n">
        <x:v>636</x:v>
      </x:c>
      <x:c r="I49" s="85" t="n">
        <x:v>9284896.8</x:v>
      </x:c>
      <x:c r="J49" s="85" t="n">
        <x:v>5464259.1</x:v>
      </x:c>
      <x:c r="K49" s="74" t="str">
        <x:v>Gradient Boosting</x:v>
      </x:c>
      <x:c r="L49" s="80" t="n">
        <x:v>0.255649</x:v>
      </x:c>
      <x:c r="M49" s="80" t="n">
        <x:v>-0.04216</x:v>
      </x:c>
      <x:c r="N49" s="74" t="n">
        <x:v>6.862</x:v>
      </x:c>
      <x:c r="O49" s="74" t="n">
        <x:v>64</x:v>
      </x:c>
      <x:c r="P49" s="85" t="n">
        <x:v>24963.84</x:v>
      </x:c>
      <x:c r="Q49" s="74" t="str">
        <x:v>HEALTHY</x:v>
      </x:c>
      <x:c r="R49" s="80" t="n">
        <x:v>0.9390278976128846</x:v>
      </x:c>
      <x:c r="S49" s="80" t="n">
        <x:v>0.5885104829598106</x:v>
      </x:c>
    </x:row>
    <x:row r="50" ht="15" hidden="0" customHeight="1">
      <x:c r="A50" s="74" t="str">
        <x:v>OUT-005</x:v>
      </x:c>
      <x:c r="B50" s="74" t="str">
        <x:v>Cropped Outerwear</x:v>
      </x:c>
      <x:c r="C50" s="74" t="str">
        <x:v>Outerwear</x:v>
      </x:c>
      <x:c r="D50" s="74" t="str">
        <x:v>Trend</x:v>
      </x:c>
      <x:c r="E50" s="74" t="str">
        <x:v>SUP-004</x:v>
      </x:c>
      <x:c r="F50" s="74" t="n">
        <x:v>5089</x:v>
      </x:c>
      <x:c r="G50" s="74" t="n">
        <x:v>5069</x:v>
      </x:c>
      <x:c r="H50" s="74" t="n">
        <x:v>20</x:v>
      </x:c>
      <x:c r="I50" s="85" t="n">
        <x:v>9266604.2</x:v>
      </x:c>
      <x:c r="J50" s="85" t="n">
        <x:v>5278416.38</x:v>
      </x:c>
      <x:c r="K50" s="74" t="str">
        <x:v>Gradient Boosting</x:v>
      </x:c>
      <x:c r="L50" s="80" t="n">
        <x:v>0.230857</x:v>
      </x:c>
      <x:c r="M50" s="80" t="n">
        <x:v>-0.042272</x:v>
      </x:c>
      <x:c r="N50" s="74" t="n">
        <x:v>2.858</x:v>
      </x:c>
      <x:c r="O50" s="74" t="n">
        <x:v>112</x:v>
      </x:c>
      <x:c r="P50" s="85" t="n">
        <x:v>88119.36</x:v>
      </x:c>
      <x:c r="Q50" s="74" t="str">
        <x:v>HEALTHY</x:v>
      </x:c>
      <x:c r="R50" s="80" t="n">
        <x:v>0.9960699548044802</x:v>
      </x:c>
      <x:c r="S50" s="80" t="n">
        <x:v>0.569617118210358</x:v>
      </x:c>
    </x:row>
    <x:row r="51" ht="15" hidden="0" customHeight="1">
      <x:c r="A51" s="74" t="str">
        <x:v>KNI-007</x:v>
      </x:c>
      <x:c r="B51" s="74" t="str">
        <x:v>Fine Knitwear</x:v>
      </x:c>
      <x:c r="C51" s="74" t="str">
        <x:v>Knitwear</x:v>
      </x:c>
      <x:c r="D51" s="74" t="str">
        <x:v>Trend</x:v>
      </x:c>
      <x:c r="E51" s="74" t="str">
        <x:v>SUP-004</x:v>
      </x:c>
      <x:c r="F51" s="74" t="n">
        <x:v>11746</x:v>
      </x:c>
      <x:c r="G51" s="74" t="n">
        <x:v>5363</x:v>
      </x:c>
      <x:c r="H51" s="74" t="n">
        <x:v>6383</x:v>
      </x:c>
      <x:c r="I51" s="85" t="n">
        <x:v>9181238.1</x:v>
      </x:c>
      <x:c r="J51" s="85" t="n">
        <x:v>5337629.63</x:v>
      </x:c>
      <x:c r="K51" s="74" t="str">
        <x:v>Gradient Boosting</x:v>
      </x:c>
      <x:c r="L51" s="80" t="n">
        <x:v>0.088043</x:v>
      </x:c>
      <x:c r="M51" s="80" t="n">
        <x:v>-0.072169</x:v>
      </x:c>
      <x:c r="N51" s="74" t="n">
        <x:v>5.893</x:v>
      </x:c>
      <x:c r="O51" s="74" t="n">
        <x:v>0</x:v>
      </x:c>
      <x:c r="P51" s="85" t="n">
        <x:v>0</x:v>
      </x:c>
      <x:c r="Q51" s="74" t="str">
        <x:v>HEALTHY</x:v>
      </x:c>
      <x:c r="R51" s="80" t="n">
        <x:v>0.4565809637323344</x:v>
      </x:c>
      <x:c r="S51" s="80" t="n">
        <x:v>0.5813627281923992</x:v>
      </x:c>
    </x:row>
    <x:row r="52" ht="15" hidden="0" customHeight="1">
      <x:c r="A52" s="74" t="str">
        <x:v>DRE-009</x:v>
      </x:c>
      <x:c r="B52" s="74" t="str">
        <x:v>Pleated Dresse</x:v>
      </x:c>
      <x:c r="C52" s="74" t="str">
        <x:v>Dresses</x:v>
      </x:c>
      <x:c r="D52" s="74" t="str">
        <x:v>Core</x:v>
      </x:c>
      <x:c r="E52" s="74" t="str">
        <x:v>SUP-004</x:v>
      </x:c>
      <x:c r="F52" s="74" t="n">
        <x:v>10796.01</x:v>
      </x:c>
      <x:c r="G52" s="74" t="n">
        <x:v>5114</x:v>
      </x:c>
      <x:c r="H52" s="74" t="n">
        <x:v>5682.01</x:v>
      </x:c>
      <x:c r="I52" s="85" t="n">
        <x:v>9059268.8</x:v>
      </x:c>
      <x:c r="J52" s="85" t="n">
        <x:v>5089577.44</x:v>
      </x:c>
      <x:c r="K52" s="74" t="str">
        <x:v>Gradient Boosting</x:v>
      </x:c>
      <x:c r="L52" s="80" t="n">
        <x:v>0.18373</x:v>
      </x:c>
      <x:c r="M52" s="80" t="n">
        <x:v>-0.001323</x:v>
      </x:c>
      <x:c r="N52" s="74" t="n">
        <x:v>5.896</x:v>
      </x:c>
      <x:c r="O52" s="74" t="n">
        <x:v>0</x:v>
      </x:c>
      <x:c r="P52" s="85" t="n">
        <x:v>0</x:v>
      </x:c>
      <x:c r="Q52" s="74" t="str">
        <x:v>HEALTHY</x:v>
      </x:c>
      <x:c r="R52" s="80" t="n">
        <x:v>0.47369352195857545</x:v>
      </x:c>
      <x:c r="S52" s="80" t="n">
        <x:v>0.5618088559200275</x:v>
      </x:c>
    </x:row>
    <x:row r="53" ht="15" hidden="0" customHeight="1">
      <x:c r="A53" s="74" t="str">
        <x:v>OUT-003</x:v>
      </x:c>
      <x:c r="B53" s="74" t="str">
        <x:v>Puffer Outerwear</x:v>
      </x:c>
      <x:c r="C53" s="74" t="str">
        <x:v>Outerwear</x:v>
      </x:c>
      <x:c r="D53" s="74" t="str">
        <x:v>Trend</x:v>
      </x:c>
      <x:c r="E53" s="74" t="str">
        <x:v>SUP-002</x:v>
      </x:c>
      <x:c r="F53" s="74" t="n">
        <x:v>4628.99</x:v>
      </x:c>
      <x:c r="G53" s="74" t="n">
        <x:v>4375</x:v>
      </x:c>
      <x:c r="H53" s="74" t="n">
        <x:v>253.99</x:v>
      </x:c>
      <x:c r="I53" s="85" t="n">
        <x:v>9037109.9</x:v>
      </x:c>
      <x:c r="J53" s="85" t="n">
        <x:v>4651741.15</x:v>
      </x:c>
      <x:c r="K53" s="74" t="str">
        <x:v>Gradient Boosting</x:v>
      </x:c>
      <x:c r="L53" s="80" t="n">
        <x:v>0.127572</x:v>
      </x:c>
      <x:c r="M53" s="80" t="n">
        <x:v>-0.00576</x:v>
      </x:c>
      <x:c r="N53" s="74" t="n">
        <x:v>5.571</x:v>
      </x:c>
      <x:c r="O53" s="74" t="n">
        <x:v>60</x:v>
      </x:c>
      <x:c r="P53" s="85" t="n">
        <x:v>60142.2</x:v>
      </x:c>
      <x:c r="Q53" s="74" t="str">
        <x:v>HEALTHY</x:v>
      </x:c>
      <x:c r="R53" s="80" t="n">
        <x:v>0.945130579240828</x:v>
      </x:c>
      <x:c r="S53" s="80" t="n">
        <x:v>0.5147376983874015</x:v>
      </x:c>
    </x:row>
    <x:row r="54" ht="15" hidden="0" customHeight="1">
      <x:c r="A54" s="74" t="str">
        <x:v>KNI-008</x:v>
      </x:c>
      <x:c r="B54" s="74" t="str">
        <x:v>Oversized Knitwear</x:v>
      </x:c>
      <x:c r="C54" s="74" t="str">
        <x:v>Knitwear</x:v>
      </x:c>
      <x:c r="D54" s="74" t="str">
        <x:v>Core</x:v>
      </x:c>
      <x:c r="E54" s="74" t="str">
        <x:v>SUP-005</x:v>
      </x:c>
      <x:c r="F54" s="74" t="n">
        <x:v>9921.97</x:v>
      </x:c>
      <x:c r="G54" s="74" t="n">
        <x:v>8834</x:v>
      </x:c>
      <x:c r="H54" s="74" t="n">
        <x:v>1087.97</x:v>
      </x:c>
      <x:c r="I54" s="85" t="n">
        <x:v>8910367.2</x:v>
      </x:c>
      <x:c r="J54" s="85" t="n">
        <x:v>4977470.4</x:v>
      </x:c>
      <x:c r="K54" s="74" t="str">
        <x:v>Gradient Boosting</x:v>
      </x:c>
      <x:c r="L54" s="80" t="n">
        <x:v>0.199365</x:v>
      </x:c>
      <x:c r="M54" s="80" t="n">
        <x:v>-0.100511</x:v>
      </x:c>
      <x:c r="N54" s="74" t="n">
        <x:v>4.625</x:v>
      </x:c>
      <x:c r="O54" s="74" t="n">
        <x:v>444</x:v>
      </x:c>
      <x:c r="P54" s="85" t="n">
        <x:v>197668.8</x:v>
      </x:c>
      <x:c r="Q54" s="74" t="str">
        <x:v>ORDER NOW</x:v>
      </x:c>
      <x:c r="R54" s="80" t="n">
        <x:v>0.890347380610907</x:v>
      </x:c>
      <x:c r="S54" s="80" t="n">
        <x:v>0.5586156314635384</x:v>
      </x:c>
    </x:row>
    <x:row r="55" ht="15" hidden="0" customHeight="1">
      <x:c r="A55" s="74" t="str">
        <x:v>DRE-005</x:v>
      </x:c>
      <x:c r="B55" s="74" t="str">
        <x:v>Evening Dresse</x:v>
      </x:c>
      <x:c r="C55" s="74" t="str">
        <x:v>Dresses</x:v>
      </x:c>
      <x:c r="D55" s="74" t="str">
        <x:v>Trend</x:v>
      </x:c>
      <x:c r="E55" s="74" t="str">
        <x:v>SUP-008</x:v>
      </x:c>
      <x:c r="F55" s="74" t="n">
        <x:v>12521.01</x:v>
      </x:c>
      <x:c r="G55" s="74" t="n">
        <x:v>4498</x:v>
      </x:c>
      <x:c r="H55" s="74" t="n">
        <x:v>8023.01</x:v>
      </x:c>
      <x:c r="I55" s="85" t="n">
        <x:v>8766139.2</x:v>
      </x:c>
      <x:c r="J55" s="85" t="n">
        <x:v>5445895.52</x:v>
      </x:c>
      <x:c r="K55" s="74" t="str">
        <x:v>Gradient Boosting</x:v>
      </x:c>
      <x:c r="L55" s="80" t="n">
        <x:v>0.149879</x:v>
      </x:c>
      <x:c r="M55" s="80" t="n">
        <x:v>-0.042041</x:v>
      </x:c>
      <x:c r="N55" s="74" t="n">
        <x:v>6.117</x:v>
      </x:c>
      <x:c r="O55" s="74" t="n">
        <x:v>0</x:v>
      </x:c>
      <x:c r="P55" s="85" t="n">
        <x:v>0</x:v>
      </x:c>
      <x:c r="Q55" s="74" t="str">
        <x:v>HEALTHY</x:v>
      </x:c>
      <x:c r="R55" s="80" t="n">
        <x:v>0.3592361958020958</x:v>
      </x:c>
      <x:c r="S55" s="80" t="n">
        <x:v>0.6212421906327931</x:v>
      </x:c>
    </x:row>
    <x:row r="56" ht="15" hidden="0" customHeight="1">
      <x:c r="A56" s="74" t="str">
        <x:v>ACC-006</x:v>
      </x:c>
      <x:c r="B56" s="74" t="str">
        <x:v>Structured Accessorie</x:v>
      </x:c>
      <x:c r="C56" s="74" t="str">
        <x:v>Accessories</x:v>
      </x:c>
      <x:c r="D56" s="74" t="str">
        <x:v>Premium</x:v>
      </x:c>
      <x:c r="E56" s="74" t="str">
        <x:v>SUP-003</x:v>
      </x:c>
      <x:c r="F56" s="74" t="n">
        <x:v>16678.02</x:v>
      </x:c>
      <x:c r="G56" s="74" t="n">
        <x:v>16300</x:v>
      </x:c>
      <x:c r="H56" s="74" t="n">
        <x:v>378.02</x:v>
      </x:c>
      <x:c r="I56" s="85" t="n">
        <x:v>8185860</x:v>
      </x:c>
      <x:c r="J56" s="85" t="n">
        <x:v>5349660</x:v>
      </x:c>
      <x:c r="K56" s="74" t="str">
        <x:v>Gradient Boosting</x:v>
      </x:c>
      <x:c r="L56" s="80" t="n">
        <x:v>0.177324</x:v>
      </x:c>
      <x:c r="M56" s="80" t="n">
        <x:v>-0.130059</x:v>
      </x:c>
      <x:c r="N56" s="74" t="n">
        <x:v>6.6</x:v>
      </x:c>
      <x:c r="O56" s="74" t="n">
        <x:v>32</x:v>
      </x:c>
      <x:c r="P56" s="85" t="n">
        <x:v>5568</x:v>
      </x:c>
      <x:c r="Q56" s="74" t="str">
        <x:v>HEALTHY</x:v>
      </x:c>
      <x:c r="R56" s="80" t="n">
        <x:v>0.9773342399157694</x:v>
      </x:c>
      <x:c r="S56" s="80" t="n">
        <x:v>0.6535244922341696</x:v>
      </x:c>
    </x:row>
    <x:row r="57" ht="15" hidden="0" customHeight="1">
      <x:c r="A57" s="74" t="str">
        <x:v>KNI-006</x:v>
      </x:c>
      <x:c r="B57" s="74" t="str">
        <x:v>Cardigan Knitwear</x:v>
      </x:c>
      <x:c r="C57" s="74" t="str">
        <x:v>Knitwear</x:v>
      </x:c>
      <x:c r="D57" s="74" t="str">
        <x:v>Premium</x:v>
      </x:c>
      <x:c r="E57" s="74" t="str">
        <x:v>SUP-003</x:v>
      </x:c>
      <x:c r="F57" s="74" t="n">
        <x:v>7061.01</x:v>
      </x:c>
      <x:c r="G57" s="74" t="n">
        <x:v>6954</x:v>
      </x:c>
      <x:c r="H57" s="74" t="n">
        <x:v>107.01</x:v>
      </x:c>
      <x:c r="I57" s="85" t="n">
        <x:v>7362701.4</x:v>
      </x:c>
      <x:c r="J57" s="85" t="n">
        <x:v>4145155.14</x:v>
      </x:c>
      <x:c r="K57" s="74" t="str">
        <x:v>Gradient Boosting</x:v>
      </x:c>
      <x:c r="L57" s="80" t="n">
        <x:v>0.157678</x:v>
      </x:c>
      <x:c r="M57" s="80" t="n">
        <x:v>0.044376</x:v>
      </x:c>
      <x:c r="N57" s="74" t="n">
        <x:v>2.869</x:v>
      </x:c>
      <x:c r="O57" s="74" t="n">
        <x:v>220</x:v>
      </x:c>
      <x:c r="P57" s="85" t="n">
        <x:v>101791.8</x:v>
      </x:c>
      <x:c r="Q57" s="74" t="str">
        <x:v>MONITOR</x:v>
      </x:c>
      <x:c r="R57" s="80" t="n">
        <x:v>0.9848449442785097</x:v>
      </x:c>
      <x:c r="S57" s="80" t="n">
        <x:v>0.5629937864925502</x:v>
      </x:c>
    </x:row>
    <x:row r="58" ht="15" hidden="0" customHeight="1">
      <x:c r="A58" s="74" t="str">
        <x:v>ACC-005</x:v>
      </x:c>
      <x:c r="B58" s="74" t="str">
        <x:v>Signature Accessorie</x:v>
      </x:c>
      <x:c r="C58" s="74" t="str">
        <x:v>Accessories</x:v>
      </x:c>
      <x:c r="D58" s="74" t="str">
        <x:v>Core</x:v>
      </x:c>
      <x:c r="E58" s="74" t="str">
        <x:v>SUP-002</x:v>
      </x:c>
      <x:c r="F58" s="74" t="n">
        <x:v>9838</x:v>
      </x:c>
      <x:c r="G58" s="74" t="n">
        <x:v>9322</x:v>
      </x:c>
      <x:c r="H58" s="74" t="n">
        <x:v>516</x:v>
      </x:c>
      <x:c r="I58" s="85" t="n">
        <x:v>7322498.4</x:v>
      </x:c>
      <x:c r="J58" s="85" t="n">
        <x:v>4451788.5</x:v>
      </x:c>
      <x:c r="K58" s="74" t="str">
        <x:v>Gradient Boosting</x:v>
      </x:c>
      <x:c r="L58" s="80" t="n">
        <x:v>0.136134</x:v>
      </x:c>
      <x:c r="M58" s="80" t="n">
        <x:v>0.031108</x:v>
      </x:c>
      <x:c r="N58" s="74" t="n">
        <x:v>4.593</x:v>
      </x:c>
      <x:c r="O58" s="74" t="n">
        <x:v>228</x:v>
      </x:c>
      <x:c r="P58" s="85" t="n">
        <x:v>70212.6</x:v>
      </x:c>
      <x:c r="Q58" s="74" t="str">
        <x:v>HEALTHY</x:v>
      </x:c>
      <x:c r="R58" s="80" t="n">
        <x:v>0.9475503151046961</x:v>
      </x:c>
      <x:c r="S58" s="80" t="n">
        <x:v>0.6079603240336658</x:v>
      </x:c>
    </x:row>
    <x:row r="59" ht="15" hidden="0" customHeight="1">
      <x:c r="A59" s="74" t="str">
        <x:v>BOT-005</x:v>
      </x:c>
      <x:c r="B59" s="74" t="str">
        <x:v>Pleated Bottom</x:v>
      </x:c>
      <x:c r="C59" s="74" t="str">
        <x:v>Bottoms</x:v>
      </x:c>
      <x:c r="D59" s="74" t="str">
        <x:v>Core</x:v>
      </x:c>
      <x:c r="E59" s="74" t="str">
        <x:v>SUP-008</x:v>
      </x:c>
      <x:c r="F59" s="74" t="n">
        <x:v>11213</x:v>
      </x:c>
      <x:c r="G59" s="74" t="n">
        <x:v>4630</x:v>
      </x:c>
      <x:c r="H59" s="74" t="n">
        <x:v>6583</x:v>
      </x:c>
      <x:c r="I59" s="85" t="n">
        <x:v>7241833.5</x:v>
      </x:c>
      <x:c r="J59" s="85" t="n">
        <x:v>4231916.8</x:v>
      </x:c>
      <x:c r="K59" s="74" t="str">
        <x:v>Seasonal Naive</x:v>
      </x:c>
      <x:c r="L59" s="80" t="n">
        <x:v>0.167832</x:v>
      </x:c>
      <x:c r="M59" s="80" t="n">
        <x:v>-0.09965</x:v>
      </x:c>
      <x:c r="N59" s="74" t="n">
        <x:v>6.468</x:v>
      </x:c>
      <x:c r="O59" s="74" t="n">
        <x:v>0</x:v>
      </x:c>
      <x:c r="P59" s="85" t="n">
        <x:v>0</x:v>
      </x:c>
      <x:c r="Q59" s="74" t="str">
        <x:v>HEALTHY</x:v>
      </x:c>
      <x:c r="R59" s="80" t="n">
        <x:v>0.4129135824489432</x:v>
      </x:c>
      <x:c r="S59" s="80" t="n">
        <x:v>0.5843709055172285</x:v>
      </x:c>
    </x:row>
    <x:row r="60" ht="15" hidden="0" customHeight="1">
      <x:c r="A60" s="74" t="str">
        <x:v>KNI-010</x:v>
      </x:c>
      <x:c r="B60" s="74" t="str">
        <x:v>Essential Knitwear</x:v>
      </x:c>
      <x:c r="C60" s="74" t="str">
        <x:v>Knitwear</x:v>
      </x:c>
      <x:c r="D60" s="74" t="str">
        <x:v>Core</x:v>
      </x:c>
      <x:c r="E60" s="74" t="str">
        <x:v>SUP-007</x:v>
      </x:c>
      <x:c r="F60" s="74" t="n">
        <x:v>8579</x:v>
      </x:c>
      <x:c r="G60" s="74" t="n">
        <x:v>7897</x:v>
      </x:c>
      <x:c r="H60" s="74" t="n">
        <x:v>682</x:v>
      </x:c>
      <x:c r="I60" s="85" t="n">
        <x:v>7085587.2</x:v>
      </x:c>
      <x:c r="J60" s="85" t="n">
        <x:v>4095072.27</x:v>
      </x:c>
      <x:c r="K60" s="74" t="str">
        <x:v>Gradient Boosting</x:v>
      </x:c>
      <x:c r="L60" s="80" t="n">
        <x:v>0.142792</x:v>
      </x:c>
      <x:c r="M60" s="80" t="n">
        <x:v>-0.045635</x:v>
      </x:c>
      <x:c r="N60" s="74" t="n">
        <x:v>3.522</x:v>
      </x:c>
      <x:c r="O60" s="74" t="n">
        <x:v>354</x:v>
      </x:c>
      <x:c r="P60" s="85" t="n">
        <x:v>134056.26</x:v>
      </x:c>
      <x:c r="Q60" s="74" t="str">
        <x:v>ORDER NOW</x:v>
      </x:c>
      <x:c r="R60" s="80" t="n">
        <x:v>0.9205035551929129</x:v>
      </x:c>
      <x:c r="S60" s="80" t="n">
        <x:v>0.5779439521963684</x:v>
      </x:c>
    </x:row>
    <x:row r="61" ht="15" hidden="0" customHeight="1">
      <x:c r="A61" s="74" t="str">
        <x:v>ACC-002</x:v>
      </x:c>
      <x:c r="B61" s="74" t="str">
        <x:v>Silk Accessorie</x:v>
      </x:c>
      <x:c r="C61" s="74" t="str">
        <x:v>Accessories</x:v>
      </x:c>
      <x:c r="D61" s="74" t="str">
        <x:v>Premium</x:v>
      </x:c>
      <x:c r="E61" s="74" t="str">
        <x:v>SUP-007</x:v>
      </x:c>
      <x:c r="F61" s="74" t="n">
        <x:v>10428</x:v>
      </x:c>
      <x:c r="G61" s="74" t="n">
        <x:v>9545</x:v>
      </x:c>
      <x:c r="H61" s="74" t="n">
        <x:v>883</x:v>
      </x:c>
      <x:c r="I61" s="85" t="n">
        <x:v>6920991</x:v>
      </x:c>
      <x:c r="J61" s="85" t="n">
        <x:v>4568721.2</x:v>
      </x:c>
      <x:c r="K61" s="74" t="str">
        <x:v>Seasonal Naive</x:v>
      </x:c>
      <x:c r="L61" s="80" t="n">
        <x:v>0.17052</x:v>
      </x:c>
      <x:c r="M61" s="80" t="n">
        <x:v>-0.080925</x:v>
      </x:c>
      <x:c r="N61" s="74" t="n">
        <x:v>8.801</x:v>
      </x:c>
      <x:c r="O61" s="74" t="n">
        <x:v>48</x:v>
      </x:c>
      <x:c r="P61" s="85" t="n">
        <x:v>11829.12</x:v>
      </x:c>
      <x:c r="Q61" s="74" t="str">
        <x:v>HEALTHY</x:v>
      </x:c>
      <x:c r="R61" s="80" t="n">
        <x:v>0.9153241273494438</x:v>
      </x:c>
      <x:c r="S61" s="80" t="n">
        <x:v>0.660125291305826</x:v>
      </x:c>
    </x:row>
    <x:row r="62" ht="15" hidden="0" customHeight="1">
      <x:c r="A62" s="74" t="str">
        <x:v>TOP-007</x:v>
      </x:c>
      <x:c r="B62" s="74" t="str">
        <x:v>Essential Top</x:v>
      </x:c>
      <x:c r="C62" s="74" t="str">
        <x:v>Tops</x:v>
      </x:c>
      <x:c r="D62" s="74" t="str">
        <x:v>Core</x:v>
      </x:c>
      <x:c r="E62" s="74" t="str">
        <x:v>SUP-008</x:v>
      </x:c>
      <x:c r="F62" s="74" t="n">
        <x:v>15375</x:v>
      </x:c>
      <x:c r="G62" s="74" t="n">
        <x:v>9359</x:v>
      </x:c>
      <x:c r="H62" s="74" t="n">
        <x:v>6016</x:v>
      </x:c>
      <x:c r="I62" s="85" t="n">
        <x:v>6094887.3</x:v>
      </x:c>
      <x:c r="J62" s="85" t="n">
        <x:v>3834501.62</x:v>
      </x:c>
      <x:c r="K62" s="74" t="str">
        <x:v>Gradient Boosting</x:v>
      </x:c>
      <x:c r="L62" s="80" t="n">
        <x:v>0.148013</x:v>
      </x:c>
      <x:c r="M62" s="80" t="n">
        <x:v>-0.006414</x:v>
      </x:c>
      <x:c r="N62" s="74" t="n">
        <x:v>6.161</x:v>
      </x:c>
      <x:c r="O62" s="74" t="n">
        <x:v>0</x:v>
      </x:c>
      <x:c r="P62" s="85" t="n">
        <x:v>0</x:v>
      </x:c>
      <x:c r="Q62" s="74" t="str">
        <x:v>HEALTHY</x:v>
      </x:c>
      <x:c r="R62" s="80" t="n">
        <x:v>0.6087154471544716</x:v>
      </x:c>
      <x:c r="S62" s="80" t="n">
        <x:v>0.6291341301749748</x:v>
      </x:c>
    </x:row>
    <x:row r="63" ht="15" hidden="0" customHeight="1">
      <x:c r="A63" s="74" t="str">
        <x:v>ACC-003</x:v>
      </x:c>
      <x:c r="B63" s="74" t="str">
        <x:v>Chain Accessorie</x:v>
      </x:c>
      <x:c r="C63" s="74" t="str">
        <x:v>Accessories</x:v>
      </x:c>
      <x:c r="D63" s="74" t="str">
        <x:v>Trend</x:v>
      </x:c>
      <x:c r="E63" s="74" t="str">
        <x:v>SUP-008</x:v>
      </x:c>
      <x:c r="F63" s="74" t="n">
        <x:v>11253.01</x:v>
      </x:c>
      <x:c r="G63" s="74" t="n">
        <x:v>2773</x:v>
      </x:c>
      <x:c r="H63" s="74" t="n">
        <x:v>8480.01</x:v>
      </x:c>
      <x:c r="I63" s="85" t="n">
        <x:v>3803800</x:v>
      </x:c>
      <x:c r="J63" s="85" t="n">
        <x:v>2554119.82</x:v>
      </x:c>
      <x:c r="K63" s="74" t="str">
        <x:v>Gradient Boosting</x:v>
      </x:c>
      <x:c r="L63" s="80" t="n">
        <x:v>0.096063</x:v>
      </x:c>
      <x:c r="M63" s="80" t="n">
        <x:v>0.02714</x:v>
      </x:c>
      <x:c r="N63" s="74" t="n">
        <x:v>5.481</x:v>
      </x:c>
      <x:c r="O63" s="74" t="n">
        <x:v>0</x:v>
      </x:c>
      <x:c r="P63" s="85" t="n">
        <x:v>0</x:v>
      </x:c>
      <x:c r="Q63" s="74" t="str">
        <x:v>HEALTHY</x:v>
      </x:c>
      <x:c r="R63" s="80" t="n">
        <x:v>0.24642295705771167</x:v>
      </x:c>
      <x:c r="S63" s="80" t="n">
        <x:v>0.6714653294074346</x:v>
      </x:c>
    </x:row>
    <x:row r="64" ht="15" hidden="0" customHeight="1">
      <x:c r="A64" s="74" t="str">
        <x:v>BOT-001</x:v>
      </x:c>
      <x:c r="B64" s="74" t="str">
        <x:v>Tailored Bottom</x:v>
      </x:c>
      <x:c r="C64" s="74" t="str">
        <x:v>Bottoms</x:v>
      </x:c>
      <x:c r="D64" s="74" t="str">
        <x:v>Core</x:v>
      </x:c>
      <x:c r="E64" s="74" t="str">
        <x:v>SUP-004</x:v>
      </x:c>
      <x:c r="F64" s="74" t="n">
        <x:v>11334</x:v>
      </x:c>
      <x:c r="G64" s="74" t="n">
        <x:v>2142</x:v>
      </x:c>
      <x:c r="H64" s="74" t="n">
        <x:v>9192</x:v>
      </x:c>
      <x:c r="I64" s="85" t="n">
        <x:v>3747243</x:v>
      </x:c>
      <x:c r="J64" s="85" t="n">
        <x:v>1988703.84</x:v>
      </x:c>
      <x:c r="K64" s="74" t="str">
        <x:v>Gradient Boosting</x:v>
      </x:c>
      <x:c r="L64" s="80" t="n">
        <x:v>0.103302</x:v>
      </x:c>
      <x:c r="M64" s="80" t="n">
        <x:v>0.021691</x:v>
      </x:c>
      <x:c r="N64" s="74" t="n">
        <x:v>5.886</x:v>
      </x:c>
      <x:c r="O64" s="74" t="n">
        <x:v>0</x:v>
      </x:c>
      <x:c r="P64" s="85" t="n">
        <x:v>0</x:v>
      </x:c>
      <x:c r="Q64" s="74" t="str">
        <x:v>HEALTHY</x:v>
      </x:c>
      <x:c r="R64" s="80" t="n">
        <x:v>0.18898888300688194</x:v>
      </x:c>
      <x:c r="S64" s="80" t="n">
        <x:v>0.5307112028763548</x:v>
      </x:c>
    </x:row>
    <x:row r="65" ht="15" hidden="0" customHeight="1">
      <x:c r="A65" s="74" t="str">
        <x:v>OUT-001</x:v>
      </x:c>
      <x:c r="B65" s="74" t="str">
        <x:v>Trench Outerwear</x:v>
      </x:c>
      <x:c r="C65" s="74" t="str">
        <x:v>Outerwear</x:v>
      </x:c>
      <x:c r="D65" s="74" t="str">
        <x:v>Core</x:v>
      </x:c>
      <x:c r="E65" s="74" t="str">
        <x:v>SUP-008</x:v>
      </x:c>
      <x:c r="F65" s="74" t="n">
        <x:v>4722</x:v>
      </x:c>
      <x:c r="G65" s="74" t="n">
        <x:v>1063</x:v>
      </x:c>
      <x:c r="H65" s="74" t="n">
        <x:v>3659</x:v>
      </x:c>
      <x:c r="I65" s="85" t="n">
        <x:v>1883019.2</x:v>
      </x:c>
      <x:c r="J65" s="85" t="n">
        <x:v>992841.74</x:v>
      </x:c>
      <x:c r="K65" s="74" t="str">
        <x:v>Gradient Boosting</x:v>
      </x:c>
      <x:c r="L65" s="80" t="n">
        <x:v>0.146916</x:v>
      </x:c>
      <x:c r="M65" s="80" t="n">
        <x:v>0.065874</x:v>
      </x:c>
      <x:c r="N65" s="74" t="n">
        <x:v>5.068</x:v>
      </x:c>
      <x:c r="O65" s="74" t="n">
        <x:v>60</x:v>
      </x:c>
      <x:c r="P65" s="85" t="n">
        <x:v>50245.2</x:v>
      </x:c>
      <x:c r="Q65" s="74" t="str">
        <x:v>HEALTHY</x:v>
      </x:c>
      <x:c r="R65" s="80" t="n">
        <x:v>0.22511647606946208</x:v>
      </x:c>
      <x:c r="S65" s="80" t="n">
        <x:v>0.5272605505031495</x:v>
      </x:c>
    </x:row>
  </x:sheetData>
  <x:mergeCells>
    <x:mergeCell ref="A1:P2"/>
    <x:mergeCell ref="A3:P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</x:cols>
  <x:sheetData>
    <x:row r="1" ht="25" customHeight="1">
      <x:c r="A1" s="68" t="str">
        <x:v>2026 Forecast Data</x:v>
      </x:c>
      <x:c r="B1" s="68"/>
      <x:c r="C1" s="68"/>
      <x:c r="D1" s="68"/>
      <x:c r="E1" s="68"/>
      <x:c r="F1" s="68"/>
    </x:row>
    <x:row r="2" ht="25" customHeight="1">
      <x:c r="A2" s="68"/>
      <x:c r="B2" s="68"/>
      <x:c r="C2" s="68"/>
      <x:c r="D2" s="68"/>
      <x:c r="E2" s="68"/>
      <x:c r="F2" s="68"/>
    </x:row>
    <x:row r="3" ht="15" hidden="0" customHeight="1">
      <x:c r="A3" s="71" t="str">
        <x:v>Monthly category forecast with 80% prediction intervals</x:v>
      </x:c>
      <x:c r="B3" s="71"/>
      <x:c r="C3" s="71"/>
      <x:c r="D3" s="71"/>
      <x:c r="E3" s="71"/>
      <x:c r="F3" s="71"/>
    </x:row>
    <x:row r="4"/>
    <x:row r="5" ht="15" hidden="0" customHeight="1">
      <x:c r="A5" s="78" t="str">
        <x:v>YearMonth</x:v>
      </x:c>
      <x:c r="B5" s="78" t="str">
        <x:v>Category</x:v>
      </x:c>
      <x:c r="C5" s="78" t="str">
        <x:v>ForecastUnits</x:v>
      </x:c>
      <x:c r="D5" s="78" t="str">
        <x:v>Lower80Units</x:v>
      </x:c>
      <x:c r="E5" s="78" t="str">
        <x:v>Upper80Units</x:v>
      </x:c>
      <x:c r="F5" s="78" t="str">
        <x:v>ForecastRevenueTRY</x:v>
      </x:c>
    </x:row>
    <x:row r="6" ht="15" hidden="0" customHeight="1">
      <x:c r="A6" s="74" t="str">
        <x:v>2026-01</x:v>
      </x:c>
      <x:c r="B6" s="74" t="str">
        <x:v>Accessories</x:v>
      </x:c>
      <x:c r="C6" s="74" t="n">
        <x:v>3734.71</x:v>
      </x:c>
      <x:c r="D6" s="74" t="n">
        <x:v>2541.522</x:v>
      </x:c>
      <x:c r="E6" s="74" t="n">
        <x:v>4927.9</x:v>
      </x:c>
      <x:c r="F6" s="79" t="n">
        <x:v>3480908.29</x:v>
      </x:c>
    </x:row>
    <x:row r="7" ht="15" hidden="0" customHeight="1">
      <x:c r="A7" s="74" t="str">
        <x:v>2026-01</x:v>
      </x:c>
      <x:c r="B7" s="74" t="str">
        <x:v>Bottoms</x:v>
      </x:c>
      <x:c r="C7" s="74" t="n">
        <x:v>2989.095</x:v>
      </x:c>
      <x:c r="D7" s="74" t="n">
        <x:v>2177.525</x:v>
      </x:c>
      <x:c r="E7" s="74" t="n">
        <x:v>3800.665</x:v>
      </x:c>
      <x:c r="F7" s="79" t="n">
        <x:v>4887508.81</x:v>
      </x:c>
    </x:row>
    <x:row r="8" ht="15" hidden="0" customHeight="1">
      <x:c r="A8" s="74" t="str">
        <x:v>2026-01</x:v>
      </x:c>
      <x:c r="B8" s="74" t="str">
        <x:v>Dresses</x:v>
      </x:c>
      <x:c r="C8" s="74" t="n">
        <x:v>2687.394</x:v>
      </x:c>
      <x:c r="D8" s="74" t="n">
        <x:v>1821.262</x:v>
      </x:c>
      <x:c r="E8" s="74" t="n">
        <x:v>3553.518</x:v>
      </x:c>
      <x:c r="F8" s="79" t="n">
        <x:v>7072706.33</x:v>
      </x:c>
    </x:row>
    <x:row r="9" ht="15" hidden="0" customHeight="1">
      <x:c r="A9" s="74" t="str">
        <x:v>2026-01</x:v>
      </x:c>
      <x:c r="B9" s="74" t="str">
        <x:v>Knitwear</x:v>
      </x:c>
      <x:c r="C9" s="74" t="n">
        <x:v>3896.1459999999997</x:v>
      </x:c>
      <x:c r="D9" s="74" t="n">
        <x:v>2927.56</x:v>
      </x:c>
      <x:c r="E9" s="74" t="n">
        <x:v>4864.73</x:v>
      </x:c>
      <x:c r="F9" s="79" t="n">
        <x:v>4989785.25</x:v>
      </x:c>
    </x:row>
    <x:row r="10" ht="15" hidden="0" customHeight="1">
      <x:c r="A10" s="74" t="str">
        <x:v>2026-01</x:v>
      </x:c>
      <x:c r="B10" s="74" t="str">
        <x:v>Outerwear</x:v>
      </x:c>
      <x:c r="C10" s="74" t="n">
        <x:v>2205.304</x:v>
      </x:c>
      <x:c r="D10" s="74" t="n">
        <x:v>1624.813</x:v>
      </x:c>
      <x:c r="E10" s="74" t="n">
        <x:v>2785.795</x:v>
      </x:c>
      <x:c r="F10" s="79" t="n">
        <x:v>6278855.66</x:v>
      </x:c>
    </x:row>
    <x:row r="11" ht="15" hidden="0" customHeight="1">
      <x:c r="A11" s="74" t="str">
        <x:v>2026-01</x:v>
      </x:c>
      <x:c r="B11" s="74" t="str">
        <x:v>Tops</x:v>
      </x:c>
      <x:c r="C11" s="74" t="n">
        <x:v>3082.25</x:v>
      </x:c>
      <x:c r="D11" s="74" t="n">
        <x:v>2273.199</x:v>
      </x:c>
      <x:c r="E11" s="74" t="n">
        <x:v>3891.302</x:v>
      </x:c>
      <x:c r="F11" s="79" t="n">
        <x:v>3616950.93</x:v>
      </x:c>
    </x:row>
    <x:row r="12" ht="15" hidden="0" customHeight="1">
      <x:c r="A12" s="74" t="str">
        <x:v>2026-02</x:v>
      </x:c>
      <x:c r="B12" s="74" t="str">
        <x:v>Accessories</x:v>
      </x:c>
      <x:c r="C12" s="74" t="n">
        <x:v>3459.498</x:v>
      </x:c>
      <x:c r="D12" s="74" t="n">
        <x:v>2266.311</x:v>
      </x:c>
      <x:c r="E12" s="74" t="n">
        <x:v>4652.686</x:v>
      </x:c>
      <x:c r="F12" s="79" t="n">
        <x:v>3443873.38</x:v>
      </x:c>
    </x:row>
    <x:row r="13" ht="15" hidden="0" customHeight="1">
      <x:c r="A13" s="74" t="str">
        <x:v>2026-02</x:v>
      </x:c>
      <x:c r="B13" s="74" t="str">
        <x:v>Bottoms</x:v>
      </x:c>
      <x:c r="C13" s="74" t="n">
        <x:v>2774.254</x:v>
      </x:c>
      <x:c r="D13" s="74" t="n">
        <x:v>1962.686</x:v>
      </x:c>
      <x:c r="E13" s="74" t="n">
        <x:v>3585.824</x:v>
      </x:c>
      <x:c r="F13" s="79" t="n">
        <x:v>4823116.71</x:v>
      </x:c>
    </x:row>
    <x:row r="14" ht="15" hidden="0" customHeight="1">
      <x:c r="A14" s="74" t="str">
        <x:v>2026-02</x:v>
      </x:c>
      <x:c r="B14" s="74" t="str">
        <x:v>Dresses</x:v>
      </x:c>
      <x:c r="C14" s="74" t="n">
        <x:v>2565.464</x:v>
      </x:c>
      <x:c r="D14" s="74" t="n">
        <x:v>1699.331</x:v>
      </x:c>
      <x:c r="E14" s="74" t="n">
        <x:v>3431.593</x:v>
      </x:c>
      <x:c r="F14" s="79" t="n">
        <x:v>7131528.67</x:v>
      </x:c>
    </x:row>
    <x:row r="15" ht="15" hidden="0" customHeight="1">
      <x:c r="A15" s="74" t="str">
        <x:v>2026-02</x:v>
      </x:c>
      <x:c r="B15" s="74" t="str">
        <x:v>Knitwear</x:v>
      </x:c>
      <x:c r="C15" s="74" t="n">
        <x:v>3326.7599999999998</x:v>
      </x:c>
      <x:c r="D15" s="74" t="n">
        <x:v>2358.173</x:v>
      </x:c>
      <x:c r="E15" s="74" t="n">
        <x:v>4295.345</x:v>
      </x:c>
      <x:c r="F15" s="79" t="n">
        <x:v>4707292.26</x:v>
      </x:c>
    </x:row>
    <x:row r="16" ht="15" hidden="0" customHeight="1">
      <x:c r="A16" s="74" t="str">
        <x:v>2026-02</x:v>
      </x:c>
      <x:c r="B16" s="74" t="str">
        <x:v>Outerwear</x:v>
      </x:c>
      <x:c r="C16" s="74" t="n">
        <x:v>1885.0230000000001</x:v>
      </x:c>
      <x:c r="D16" s="74" t="n">
        <x:v>1304.53</x:v>
      </x:c>
      <x:c r="E16" s="74" t="n">
        <x:v>2465.516</x:v>
      </x:c>
      <x:c r="F16" s="79" t="n">
        <x:v>5938861.78</x:v>
      </x:c>
    </x:row>
    <x:row r="17" ht="15" hidden="0" customHeight="1">
      <x:c r="A17" s="74" t="str">
        <x:v>2026-02</x:v>
      </x:c>
      <x:c r="B17" s="74" t="str">
        <x:v>Tops</x:v>
      </x:c>
      <x:c r="C17" s="74" t="n">
        <x:v>2995.591</x:v>
      </x:c>
      <x:c r="D17" s="74" t="n">
        <x:v>2186.537</x:v>
      </x:c>
      <x:c r="E17" s="74" t="n">
        <x:v>3804.64</x:v>
      </x:c>
      <x:c r="F17" s="79" t="n">
        <x:v>3698166.59</x:v>
      </x:c>
    </x:row>
    <x:row r="18" ht="15" hidden="0" customHeight="1">
      <x:c r="A18" s="74" t="str">
        <x:v>2026-03</x:v>
      </x:c>
      <x:c r="B18" s="74" t="str">
        <x:v>Accessories</x:v>
      </x:c>
      <x:c r="C18" s="74" t="n">
        <x:v>4501.541</x:v>
      </x:c>
      <x:c r="D18" s="74" t="n">
        <x:v>3010.053</x:v>
      </x:c>
      <x:c r="E18" s="74" t="n">
        <x:v>5993.027</x:v>
      </x:c>
      <x:c r="F18" s="79" t="n">
        <x:v>4089347.82</x:v>
      </x:c>
    </x:row>
    <x:row r="19" ht="15" hidden="0" customHeight="1">
      <x:c r="A19" s="74" t="str">
        <x:v>2026-03</x:v>
      </x:c>
      <x:c r="B19" s="74" t="str">
        <x:v>Bottoms</x:v>
      </x:c>
      <x:c r="C19" s="74" t="n">
        <x:v>3861.454</x:v>
      </x:c>
      <x:c r="D19" s="74" t="n">
        <x:v>2846.992</x:v>
      </x:c>
      <x:c r="E19" s="74" t="n">
        <x:v>4875.915</x:v>
      </x:c>
      <x:c r="F19" s="79" t="n">
        <x:v>6178673.76</x:v>
      </x:c>
    </x:row>
    <x:row r="20" ht="15" hidden="0" customHeight="1">
      <x:c r="A20" s="74" t="str">
        <x:v>2026-03</x:v>
      </x:c>
      <x:c r="B20" s="74" t="str">
        <x:v>Dresses</x:v>
      </x:c>
      <x:c r="C20" s="74" t="n">
        <x:v>3883.071</x:v>
      </x:c>
      <x:c r="D20" s="74" t="n">
        <x:v>2800.41</x:v>
      </x:c>
      <x:c r="E20" s="74" t="n">
        <x:v>4965.737</x:v>
      </x:c>
      <x:c r="F20" s="79" t="n">
        <x:v>9982675.8</x:v>
      </x:c>
    </x:row>
    <x:row r="21" ht="15" hidden="0" customHeight="1">
      <x:c r="A21" s="74" t="str">
        <x:v>2026-03</x:v>
      </x:c>
      <x:c r="B21" s="74" t="str">
        <x:v>Knitwear</x:v>
      </x:c>
      <x:c r="C21" s="74" t="n">
        <x:v>4137.589</x:v>
      </x:c>
      <x:c r="D21" s="74" t="n">
        <x:v>2926.855</x:v>
      </x:c>
      <x:c r="E21" s="74" t="n">
        <x:v>5348.322</x:v>
      </x:c>
      <x:c r="F21" s="79" t="n">
        <x:v>5418777.05</x:v>
      </x:c>
    </x:row>
    <x:row r="22" ht="15" hidden="0" customHeight="1">
      <x:c r="A22" s="74" t="str">
        <x:v>2026-03</x:v>
      </x:c>
      <x:c r="B22" s="74" t="str">
        <x:v>Outerwear</x:v>
      </x:c>
      <x:c r="C22" s="74" t="n">
        <x:v>2453.313</x:v>
      </x:c>
      <x:c r="D22" s="74" t="n">
        <x:v>1727.692</x:v>
      </x:c>
      <x:c r="E22" s="74" t="n">
        <x:v>3178.925</x:v>
      </x:c>
      <x:c r="F22" s="79" t="n">
        <x:v>7189538.33</x:v>
      </x:c>
    </x:row>
    <x:row r="23" ht="15" hidden="0" customHeight="1">
      <x:c r="A23" s="74" t="str">
        <x:v>2026-03</x:v>
      </x:c>
      <x:c r="B23" s="74" t="str">
        <x:v>Tops</x:v>
      </x:c>
      <x:c r="C23" s="74" t="n">
        <x:v>4681.602</x:v>
      </x:c>
      <x:c r="D23" s="74" t="n">
        <x:v>3670.288</x:v>
      </x:c>
      <x:c r="E23" s="74" t="n">
        <x:v>5692.921</x:v>
      </x:c>
      <x:c r="F23" s="79" t="n">
        <x:v>5335184.9</x:v>
      </x:c>
    </x:row>
    <x:row r="24" ht="15" hidden="0" customHeight="1">
      <x:c r="A24" s="74" t="str">
        <x:v>2026-04</x:v>
      </x:c>
      <x:c r="B24" s="74" t="str">
        <x:v>Accessories</x:v>
      </x:c>
      <x:c r="C24" s="74" t="n">
        <x:v>3231.483</x:v>
      </x:c>
      <x:c r="D24" s="74" t="n">
        <x:v>2038.291</x:v>
      </x:c>
      <x:c r="E24" s="74" t="n">
        <x:v>4424.673</x:v>
      </x:c>
      <x:c r="F24" s="79" t="n">
        <x:v>3184809.16</x:v>
      </x:c>
    </x:row>
    <x:row r="25" ht="15" hidden="0" customHeight="1">
      <x:c r="A25" s="74" t="str">
        <x:v>2026-04</x:v>
      </x:c>
      <x:c r="B25" s="74" t="str">
        <x:v>Bottoms</x:v>
      </x:c>
      <x:c r="C25" s="74" t="n">
        <x:v>2840.298</x:v>
      </x:c>
      <x:c r="D25" s="74" t="n">
        <x:v>2028.728</x:v>
      </x:c>
      <x:c r="E25" s="74" t="n">
        <x:v>3651.868</x:v>
      </x:c>
      <x:c r="F25" s="79" t="n">
        <x:v>4913575.69</x:v>
      </x:c>
    </x:row>
    <x:row r="26" ht="15" hidden="0" customHeight="1">
      <x:c r="A26" s="74" t="str">
        <x:v>2026-04</x:v>
      </x:c>
      <x:c r="B26" s="74" t="str">
        <x:v>Dresses</x:v>
      </x:c>
      <x:c r="C26" s="74" t="n">
        <x:v>3113.251</x:v>
      </x:c>
      <x:c r="D26" s="74" t="n">
        <x:v>2247.121</x:v>
      </x:c>
      <x:c r="E26" s="74" t="n">
        <x:v>3979.373</x:v>
      </x:c>
      <x:c r="F26" s="79" t="n">
        <x:v>8691784.95</x:v>
      </x:c>
    </x:row>
    <x:row r="27" ht="15" hidden="0" customHeight="1">
      <x:c r="A27" s="74" t="str">
        <x:v>2026-04</x:v>
      </x:c>
      <x:c r="B27" s="74" t="str">
        <x:v>Knitwear</x:v>
      </x:c>
      <x:c r="C27" s="74" t="n">
        <x:v>2710.553</x:v>
      </x:c>
      <x:c r="D27" s="74" t="n">
        <x:v>1741.967</x:v>
      </x:c>
      <x:c r="E27" s="74" t="n">
        <x:v>3679.141</x:v>
      </x:c>
      <x:c r="F27" s="79" t="n">
        <x:v>3835039.83</x:v>
      </x:c>
    </x:row>
    <x:row r="28" ht="15" hidden="0" customHeight="1">
      <x:c r="A28" s="74" t="str">
        <x:v>2026-04</x:v>
      </x:c>
      <x:c r="B28" s="74" t="str">
        <x:v>Outerwear</x:v>
      </x:c>
      <x:c r="C28" s="74" t="n">
        <x:v>1634.198</x:v>
      </x:c>
      <x:c r="D28" s="74" t="n">
        <x:v>1053.708</x:v>
      </x:c>
      <x:c r="E28" s="74" t="n">
        <x:v>2214.691</x:v>
      </x:c>
      <x:c r="F28" s="79" t="n">
        <x:v>5176186.79</x:v>
      </x:c>
    </x:row>
    <x:row r="29" ht="15" hidden="0" customHeight="1">
      <x:c r="A29" s="74" t="str">
        <x:v>2026-04</x:v>
      </x:c>
      <x:c r="B29" s="74" t="str">
        <x:v>Tops</x:v>
      </x:c>
      <x:c r="C29" s="74" t="n">
        <x:v>3861.124</x:v>
      </x:c>
      <x:c r="D29" s="74" t="n">
        <x:v>3052.069</x:v>
      </x:c>
      <x:c r="E29" s="74" t="n">
        <x:v>4670.177</x:v>
      </x:c>
      <x:c r="F29" s="79" t="n">
        <x:v>4793778.81</x:v>
      </x:c>
    </x:row>
    <x:row r="30" ht="15" hidden="0" customHeight="1">
      <x:c r="A30" s="74" t="str">
        <x:v>2026-05</x:v>
      </x:c>
      <x:c r="B30" s="74" t="str">
        <x:v>Accessories</x:v>
      </x:c>
      <x:c r="C30" s="74" t="n">
        <x:v>3025.72</x:v>
      </x:c>
      <x:c r="D30" s="74" t="n">
        <x:v>1832.5330000000001</x:v>
      </x:c>
      <x:c r="E30" s="74" t="n">
        <x:v>4218.908</x:v>
      </x:c>
      <x:c r="F30" s="79" t="n">
        <x:v>2983632.18</x:v>
      </x:c>
    </x:row>
    <x:row r="31" ht="15" hidden="0" customHeight="1">
      <x:c r="A31" s="74" t="str">
        <x:v>2026-05</x:v>
      </x:c>
      <x:c r="B31" s="74" t="str">
        <x:v>Bottoms</x:v>
      </x:c>
      <x:c r="C31" s="74" t="n">
        <x:v>2913.402</x:v>
      </x:c>
      <x:c r="D31" s="74" t="n">
        <x:v>2101.83</x:v>
      </x:c>
      <x:c r="E31" s="74" t="n">
        <x:v>3724.97</x:v>
      </x:c>
      <x:c r="F31" s="79" t="n">
        <x:v>5037959.31</x:v>
      </x:c>
    </x:row>
    <x:row r="32" ht="15" hidden="0" customHeight="1">
      <x:c r="A32" s="74" t="str">
        <x:v>2026-05</x:v>
      </x:c>
      <x:c r="B32" s="74" t="str">
        <x:v>Dresses</x:v>
      </x:c>
      <x:c r="C32" s="74" t="n">
        <x:v>3423.787</x:v>
      </x:c>
      <x:c r="D32" s="74" t="n">
        <x:v>2557.662</x:v>
      </x:c>
      <x:c r="E32" s="74" t="n">
        <x:v>4289.914</x:v>
      </x:c>
      <x:c r="F32" s="79" t="n">
        <x:v>9554438.620000001</x:v>
      </x:c>
    </x:row>
    <x:row r="33" ht="15" hidden="0" customHeight="1">
      <x:c r="A33" s="74" t="str">
        <x:v>2026-05</x:v>
      </x:c>
      <x:c r="B33" s="74" t="str">
        <x:v>Knitwear</x:v>
      </x:c>
      <x:c r="C33" s="74" t="n">
        <x:v>2398.77</x:v>
      </x:c>
      <x:c r="D33" s="74" t="n">
        <x:v>1430.183</x:v>
      </x:c>
      <x:c r="E33" s="74" t="n">
        <x:v>3367.357</x:v>
      </x:c>
      <x:c r="F33" s="79" t="n">
        <x:v>3411092.81</x:v>
      </x:c>
    </x:row>
    <x:row r="34" ht="15" hidden="0" customHeight="1">
      <x:c r="A34" s="74" t="str">
        <x:v>2026-05</x:v>
      </x:c>
      <x:c r="B34" s="74" t="str">
        <x:v>Outerwear</x:v>
      </x:c>
      <x:c r="C34" s="74" t="n">
        <x:v>1409.492</x:v>
      </x:c>
      <x:c r="D34" s="74" t="n">
        <x:v>829.001</x:v>
      </x:c>
      <x:c r="E34" s="74" t="n">
        <x:v>1989.986</x:v>
      </x:c>
      <x:c r="F34" s="79" t="n">
        <x:v>4456656.58</x:v>
      </x:c>
    </x:row>
    <x:row r="35" ht="15" hidden="0" customHeight="1">
      <x:c r="A35" s="74" t="str">
        <x:v>2026-05</x:v>
      </x:c>
      <x:c r="B35" s="74" t="str">
        <x:v>Tops</x:v>
      </x:c>
      <x:c r="C35" s="74" t="n">
        <x:v>4230.693</x:v>
      </x:c>
      <x:c r="D35" s="74" t="n">
        <x:v>3421.643</x:v>
      </x:c>
      <x:c r="E35" s="74" t="n">
        <x:v>5039.746</x:v>
      </x:c>
      <x:c r="F35" s="79" t="n">
        <x:v>5270623.2</x:v>
      </x:c>
    </x:row>
    <x:row r="36" ht="15" hidden="0" customHeight="1">
      <x:c r="A36" s="74" t="str">
        <x:v>2026-06</x:v>
      </x:c>
      <x:c r="B36" s="74" t="str">
        <x:v>Accessories</x:v>
      </x:c>
      <x:c r="C36" s="74" t="n">
        <x:v>3771.455</x:v>
      </x:c>
      <x:c r="D36" s="74" t="n">
        <x:v>2279.969</x:v>
      </x:c>
      <x:c r="E36" s="74" t="n">
        <x:v>5262.943</x:v>
      </x:c>
      <x:c r="F36" s="79" t="n">
        <x:v>3518790.65</x:v>
      </x:c>
    </x:row>
    <x:row r="37" ht="15" hidden="0" customHeight="1">
      <x:c r="A37" s="74" t="str">
        <x:v>2026-06</x:v>
      </x:c>
      <x:c r="B37" s="74" t="str">
        <x:v>Bottoms</x:v>
      </x:c>
      <x:c r="C37" s="74" t="n">
        <x:v>3586.216</x:v>
      </x:c>
      <x:c r="D37" s="74" t="n">
        <x:v>2571.753</x:v>
      </x:c>
      <x:c r="E37" s="74" t="n">
        <x:v>4600.681</x:v>
      </x:c>
      <x:c r="F37" s="79" t="n">
        <x:v>5900601.05</x:v>
      </x:c>
    </x:row>
    <x:row r="38" ht="15" hidden="0" customHeight="1">
      <x:c r="A38" s="74" t="str">
        <x:v>2026-06</x:v>
      </x:c>
      <x:c r="B38" s="74" t="str">
        <x:v>Dresses</x:v>
      </x:c>
      <x:c r="C38" s="74" t="n">
        <x:v>5245.667</x:v>
      </x:c>
      <x:c r="D38" s="74" t="n">
        <x:v>4163.002</x:v>
      </x:c>
      <x:c r="E38" s="74" t="n">
        <x:v>6328.326</x:v>
      </x:c>
      <x:c r="F38" s="79" t="n">
        <x:v>13252950.36</x:v>
      </x:c>
    </x:row>
    <x:row r="39" ht="15" hidden="0" customHeight="1">
      <x:c r="A39" s="74" t="str">
        <x:v>2026-06</x:v>
      </x:c>
      <x:c r="B39" s="74" t="str">
        <x:v>Knitwear</x:v>
      </x:c>
      <x:c r="C39" s="74" t="n">
        <x:v>2893.932</x:v>
      </x:c>
      <x:c r="D39" s="74" t="n">
        <x:v>1683.1970000000001</x:v>
      </x:c>
      <x:c r="E39" s="74" t="n">
        <x:v>4104.659</x:v>
      </x:c>
      <x:c r="F39" s="79" t="n">
        <x:v>3914295.95</x:v>
      </x:c>
    </x:row>
    <x:row r="40" ht="15" hidden="0" customHeight="1">
      <x:c r="A40" s="74" t="str">
        <x:v>2026-06</x:v>
      </x:c>
      <x:c r="B40" s="74" t="str">
        <x:v>Outerwear</x:v>
      </x:c>
      <x:c r="C40" s="74" t="n">
        <x:v>1603.952</x:v>
      </x:c>
      <x:c r="D40" s="74" t="n">
        <x:v>878.339</x:v>
      </x:c>
      <x:c r="E40" s="74" t="n">
        <x:v>2329.566</x:v>
      </x:c>
      <x:c r="F40" s="79" t="n">
        <x:v>4788369.7</x:v>
      </x:c>
    </x:row>
    <x:row r="41" ht="15" hidden="0" customHeight="1">
      <x:c r="A41" s="74" t="str">
        <x:v>2026-06</x:v>
      </x:c>
      <x:c r="B41" s="74" t="str">
        <x:v>Tops</x:v>
      </x:c>
      <x:c r="C41" s="74" t="n">
        <x:v>6170.611</x:v>
      </x:c>
      <x:c r="D41" s="74" t="n">
        <x:v>5159.292</x:v>
      </x:c>
      <x:c r="E41" s="74" t="n">
        <x:v>7181.927</x:v>
      </x:c>
      <x:c r="F41" s="79" t="n">
        <x:v>6979762.96</x:v>
      </x:c>
    </x:row>
    <x:row r="42" ht="15" hidden="0" customHeight="1">
      <x:c r="A42" s="74" t="str">
        <x:v>2026-07</x:v>
      </x:c>
      <x:c r="B42" s="74" t="str">
        <x:v>Accessories</x:v>
      </x:c>
      <x:c r="C42" s="74" t="n">
        <x:v>2853.118</x:v>
      </x:c>
      <x:c r="D42" s="74" t="n">
        <x:v>1659.9279999999999</x:v>
      </x:c>
      <x:c r="E42" s="74" t="n">
        <x:v>4046.3070000000002</x:v>
      </x:c>
      <x:c r="F42" s="79" t="n">
        <x:v>2718676.65</x:v>
      </x:c>
    </x:row>
    <x:row r="43" ht="15" hidden="0" customHeight="1">
      <x:c r="A43" s="74" t="str">
        <x:v>2026-07</x:v>
      </x:c>
      <x:c r="B43" s="74" t="str">
        <x:v>Bottoms</x:v>
      </x:c>
      <x:c r="C43" s="74" t="n">
        <x:v>2754.099</x:v>
      </x:c>
      <x:c r="D43" s="74" t="n">
        <x:v>1942.529</x:v>
      </x:c>
      <x:c r="E43" s="74" t="n">
        <x:v>3565.668</x:v>
      </x:c>
      <x:c r="F43" s="79" t="n">
        <x:v>4588947.32</x:v>
      </x:c>
    </x:row>
    <x:row r="44" ht="15" hidden="0" customHeight="1">
      <x:c r="A44" s="74" t="str">
        <x:v>2026-07</x:v>
      </x:c>
      <x:c r="B44" s="74" t="str">
        <x:v>Dresses</x:v>
      </x:c>
      <x:c r="C44" s="74" t="n">
        <x:v>4057.073</x:v>
      </x:c>
      <x:c r="D44" s="74" t="n">
        <x:v>3190.942</x:v>
      </x:c>
      <x:c r="E44" s="74" t="n">
        <x:v>4923.197</x:v>
      </x:c>
      <x:c r="F44" s="79" t="n">
        <x:v>10537940.86</x:v>
      </x:c>
    </x:row>
    <x:row r="45" ht="15" hidden="0" customHeight="1">
      <x:c r="A45" s="74" t="str">
        <x:v>2026-07</x:v>
      </x:c>
      <x:c r="B45" s="74" t="str">
        <x:v>Knitwear</x:v>
      </x:c>
      <x:c r="C45" s="74" t="n">
        <x:v>2158.669</x:v>
      </x:c>
      <x:c r="D45" s="74" t="n">
        <x:v>1190.08</x:v>
      </x:c>
      <x:c r="E45" s="74" t="n">
        <x:v>3127.252</x:v>
      </x:c>
      <x:c r="F45" s="79" t="n">
        <x:v>2961431.06</x:v>
      </x:c>
    </x:row>
    <x:row r="46" ht="15" hidden="0" customHeight="1">
      <x:c r="A46" s="74" t="str">
        <x:v>2026-07</x:v>
      </x:c>
      <x:c r="B46" s="74" t="str">
        <x:v>Outerwear</x:v>
      </x:c>
      <x:c r="C46" s="74" t="n">
        <x:v>1178.658</x:v>
      </x:c>
      <x:c r="D46" s="74" t="n">
        <x:v>598.163</x:v>
      </x:c>
      <x:c r="E46" s="74" t="n">
        <x:v>1759.149</x:v>
      </x:c>
      <x:c r="F46" s="79" t="n">
        <x:v>3586577.12</x:v>
      </x:c>
    </x:row>
    <x:row r="47" ht="15" hidden="0" customHeight="1">
      <x:c r="A47" s="74" t="str">
        <x:v>2026-07</x:v>
      </x:c>
      <x:c r="B47" s="74" t="str">
        <x:v>Tops</x:v>
      </x:c>
      <x:c r="C47" s="74" t="n">
        <x:v>4726.787</x:v>
      </x:c>
      <x:c r="D47" s="74" t="n">
        <x:v>3917.735</x:v>
      </x:c>
      <x:c r="E47" s="74" t="n">
        <x:v>5535.836</x:v>
      </x:c>
      <x:c r="F47" s="79" t="n">
        <x:v>5548433.64</x:v>
      </x:c>
    </x:row>
    <x:row r="48" ht="15" hidden="0" customHeight="1">
      <x:c r="A48" s="74" t="str">
        <x:v>2026-08</x:v>
      </x:c>
      <x:c r="B48" s="74" t="str">
        <x:v>Accessories</x:v>
      </x:c>
      <x:c r="C48" s="74" t="n">
        <x:v>3520.257</x:v>
      </x:c>
      <x:c r="D48" s="74" t="n">
        <x:v>2028.767</x:v>
      </x:c>
      <x:c r="E48" s="74" t="n">
        <x:v>5011.742</x:v>
      </x:c>
      <x:c r="F48" s="79" t="n">
        <x:v>3472118.41</x:v>
      </x:c>
    </x:row>
    <x:row r="49" ht="15" hidden="0" customHeight="1">
      <x:c r="A49" s="74" t="str">
        <x:v>2026-08</x:v>
      </x:c>
      <x:c r="B49" s="74" t="str">
        <x:v>Bottoms</x:v>
      </x:c>
      <x:c r="C49" s="74" t="n">
        <x:v>3332.463</x:v>
      </x:c>
      <x:c r="D49" s="74" t="n">
        <x:v>2318.001</x:v>
      </x:c>
      <x:c r="E49" s="74" t="n">
        <x:v>4346.926</x:v>
      </x:c>
      <x:c r="F49" s="79" t="n">
        <x:v>5761237.91</x:v>
      </x:c>
    </x:row>
    <x:row r="50" ht="15" hidden="0" customHeight="1">
      <x:c r="A50" s="74" t="str">
        <x:v>2026-08</x:v>
      </x:c>
      <x:c r="B50" s="74" t="str">
        <x:v>Dresses</x:v>
      </x:c>
      <x:c r="C50" s="74" t="n">
        <x:v>4539.186</x:v>
      </x:c>
      <x:c r="D50" s="74" t="n">
        <x:v>3456.524</x:v>
      </x:c>
      <x:c r="E50" s="74" t="n">
        <x:v>5621.847</x:v>
      </x:c>
      <x:c r="F50" s="79" t="n">
        <x:v>12622496.38</x:v>
      </x:c>
    </x:row>
    <x:row r="51" ht="15" hidden="0" customHeight="1">
      <x:c r="A51" s="74" t="str">
        <x:v>2026-08</x:v>
      </x:c>
      <x:c r="B51" s="74" t="str">
        <x:v>Knitwear</x:v>
      </x:c>
      <x:c r="C51" s="74" t="n">
        <x:v>2616.033</x:v>
      </x:c>
      <x:c r="D51" s="74" t="n">
        <x:v>1405.3</x:v>
      </x:c>
      <x:c r="E51" s="74" t="n">
        <x:v>3826.7690000000002</x:v>
      </x:c>
      <x:c r="F51" s="79" t="n">
        <x:v>3714698.96</x:v>
      </x:c>
    </x:row>
    <x:row r="52" ht="15" hidden="0" customHeight="1">
      <x:c r="A52" s="74" t="str">
        <x:v>2026-08</x:v>
      </x:c>
      <x:c r="B52" s="74" t="str">
        <x:v>Outerwear</x:v>
      </x:c>
      <x:c r="C52" s="74" t="n">
        <x:v>1509.832</x:v>
      </x:c>
      <x:c r="D52" s="74" t="n">
        <x:v>784.226</x:v>
      </x:c>
      <x:c r="E52" s="74" t="n">
        <x:v>2235.449</x:v>
      </x:c>
      <x:c r="F52" s="79" t="n">
        <x:v>4753190.28</x:v>
      </x:c>
    </x:row>
    <x:row r="53" ht="15" hidden="0" customHeight="1">
      <x:c r="A53" s="74" t="str">
        <x:v>2026-08</x:v>
      </x:c>
      <x:c r="B53" s="74" t="str">
        <x:v>Tops</x:v>
      </x:c>
      <x:c r="C53" s="74" t="n">
        <x:v>5170.615</x:v>
      </x:c>
      <x:c r="D53" s="74" t="n">
        <x:v>4159.298</x:v>
      </x:c>
      <x:c r="E53" s="74" t="n">
        <x:v>6181.93</x:v>
      </x:c>
      <x:c r="F53" s="79" t="n">
        <x:v>6480710.61</x:v>
      </x:c>
    </x:row>
    <x:row r="54" ht="15" hidden="0" customHeight="1">
      <x:c r="A54" s="74" t="str">
        <x:v>2026-09</x:v>
      </x:c>
      <x:c r="B54" s="74" t="str">
        <x:v>Accessories</x:v>
      </x:c>
      <x:c r="C54" s="74" t="n">
        <x:v>3271.37</x:v>
      </x:c>
      <x:c r="D54" s="74" t="n">
        <x:v>2078.186</x:v>
      </x:c>
      <x:c r="E54" s="74" t="n">
        <x:v>4464.563</x:v>
      </x:c>
      <x:c r="F54" s="79" t="n">
        <x:v>3056410.61</x:v>
      </x:c>
    </x:row>
    <x:row r="55" ht="15" hidden="0" customHeight="1">
      <x:c r="A55" s="74" t="str">
        <x:v>2026-09</x:v>
      </x:c>
      <x:c r="B55" s="74" t="str">
        <x:v>Bottoms</x:v>
      </x:c>
      <x:c r="C55" s="74" t="n">
        <x:v>2806.397</x:v>
      </x:c>
      <x:c r="D55" s="74" t="n">
        <x:v>1994.827</x:v>
      </x:c>
      <x:c r="E55" s="74" t="n">
        <x:v>3617.971</x:v>
      </x:c>
      <x:c r="F55" s="79" t="n">
        <x:v>4633775.88</x:v>
      </x:c>
    </x:row>
    <x:row r="56" ht="15" hidden="0" customHeight="1">
      <x:c r="A56" s="74" t="str">
        <x:v>2026-09</x:v>
      </x:c>
      <x:c r="B56" s="74" t="str">
        <x:v>Dresses</x:v>
      </x:c>
      <x:c r="C56" s="74" t="n">
        <x:v>3433.596</x:v>
      </x:c>
      <x:c r="D56" s="74" t="n">
        <x:v>2567.47</x:v>
      </x:c>
      <x:c r="E56" s="74" t="n">
        <x:v>4299.724</x:v>
      </x:c>
      <x:c r="F56" s="79" t="n">
        <x:v>9077065.8</x:v>
      </x:c>
    </x:row>
    <x:row r="57" ht="15" hidden="0" customHeight="1">
      <x:c r="A57" s="74" t="str">
        <x:v>2026-09</x:v>
      </x:c>
      <x:c r="B57" s="74" t="str">
        <x:v>Knitwear</x:v>
      </x:c>
      <x:c r="C57" s="74" t="n">
        <x:v>2529.7110000000002</x:v>
      </x:c>
      <x:c r="D57" s="74" t="n">
        <x:v>1561.121</x:v>
      </x:c>
      <x:c r="E57" s="74" t="n">
        <x:v>3498.293</x:v>
      </x:c>
      <x:c r="F57" s="79" t="n">
        <x:v>3413866.28</x:v>
      </x:c>
    </x:row>
    <x:row r="58" ht="15" hidden="0" customHeight="1">
      <x:c r="A58" s="74" t="str">
        <x:v>2026-09</x:v>
      </x:c>
      <x:c r="B58" s="74" t="str">
        <x:v>Outerwear</x:v>
      </x:c>
      <x:c r="C58" s="74" t="n">
        <x:v>1439.123</x:v>
      </x:c>
      <x:c r="D58" s="74" t="n">
        <x:v>858.632</x:v>
      </x:c>
      <x:c r="E58" s="74" t="n">
        <x:v>2019.617</x:v>
      </x:c>
      <x:c r="F58" s="79" t="n">
        <x:v>4332711.99</x:v>
      </x:c>
    </x:row>
    <x:row r="59" ht="15" hidden="0" customHeight="1">
      <x:c r="A59" s="74" t="str">
        <x:v>2026-09</x:v>
      </x:c>
      <x:c r="B59" s="74" t="str">
        <x:v>Tops</x:v>
      </x:c>
      <x:c r="C59" s="74" t="n">
        <x:v>4142.844</x:v>
      </x:c>
      <x:c r="D59" s="74" t="n">
        <x:v>3333.787</x:v>
      </x:c>
      <x:c r="E59" s="74" t="n">
        <x:v>4951.894</x:v>
      </x:c>
      <x:c r="F59" s="79" t="n">
        <x:v>4924799.27</x:v>
      </x:c>
    </x:row>
    <x:row r="60" ht="15" hidden="0" customHeight="1">
      <x:c r="A60" s="74" t="str">
        <x:v>2026-10</x:v>
      </x:c>
      <x:c r="B60" s="74" t="str">
        <x:v>Accessories</x:v>
      </x:c>
      <x:c r="C60" s="74" t="n">
        <x:v>3225.268</x:v>
      </x:c>
      <x:c r="D60" s="74" t="n">
        <x:v>2032.074</x:v>
      </x:c>
      <x:c r="E60" s="74" t="n">
        <x:v>4418.453</x:v>
      </x:c>
      <x:c r="F60" s="79" t="n">
        <x:v>3178110.04</x:v>
      </x:c>
    </x:row>
    <x:row r="61" ht="15" hidden="0" customHeight="1">
      <x:c r="A61" s="74" t="str">
        <x:v>2026-10</x:v>
      </x:c>
      <x:c r="B61" s="74" t="str">
        <x:v>Bottoms</x:v>
      </x:c>
      <x:c r="C61" s="74" t="n">
        <x:v>2583.352</x:v>
      </x:c>
      <x:c r="D61" s="74" t="n">
        <x:v>1771.779</x:v>
      </x:c>
      <x:c r="E61" s="74" t="n">
        <x:v>3394.922</x:v>
      </x:c>
      <x:c r="F61" s="79" t="n">
        <x:v>4495024.37</x:v>
      </x:c>
    </x:row>
    <x:row r="62" ht="15" hidden="0" customHeight="1">
      <x:c r="A62" s="74" t="str">
        <x:v>2026-10</x:v>
      </x:c>
      <x:c r="B62" s="74" t="str">
        <x:v>Dresses</x:v>
      </x:c>
      <x:c r="C62" s="74" t="n">
        <x:v>2891.678</x:v>
      </x:c>
      <x:c r="D62" s="74" t="n">
        <x:v>2025.548</x:v>
      </x:c>
      <x:c r="E62" s="74" t="n">
        <x:v>3757.81</x:v>
      </x:c>
      <x:c r="F62" s="79" t="n">
        <x:v>8043201.48</x:v>
      </x:c>
    </x:row>
    <x:row r="63" ht="15" hidden="0" customHeight="1">
      <x:c r="A63" s="74" t="str">
        <x:v>2026-10</x:v>
      </x:c>
      <x:c r="B63" s="74" t="str">
        <x:v>Knitwear</x:v>
      </x:c>
      <x:c r="C63" s="74" t="n">
        <x:v>2586.531</x:v>
      </x:c>
      <x:c r="D63" s="74" t="n">
        <x:v>1617.941</x:v>
      </x:c>
      <x:c r="E63" s="74" t="n">
        <x:v>3555.114</x:v>
      </x:c>
      <x:c r="F63" s="79" t="n">
        <x:v>3691841.37</x:v>
      </x:c>
    </x:row>
    <x:row r="64" ht="15" hidden="0" customHeight="1">
      <x:c r="A64" s="74" t="str">
        <x:v>2026-10</x:v>
      </x:c>
      <x:c r="B64" s="74" t="str">
        <x:v>Outerwear</x:v>
      </x:c>
      <x:c r="C64" s="74" t="n">
        <x:v>1556.882</x:v>
      </x:c>
      <x:c r="D64" s="74" t="n">
        <x:v>976.39</x:v>
      </x:c>
      <x:c r="E64" s="74" t="n">
        <x:v>2137.38</x:v>
      </x:c>
      <x:c r="F64" s="79" t="n">
        <x:v>4910054.2299999995</x:v>
      </x:c>
    </x:row>
    <x:row r="65" ht="15" hidden="0" customHeight="1">
      <x:c r="A65" s="74" t="str">
        <x:v>2026-10</x:v>
      </x:c>
      <x:c r="B65" s="74" t="str">
        <x:v>Tops</x:v>
      </x:c>
      <x:c r="C65" s="74" t="n">
        <x:v>3525.008</x:v>
      </x:c>
      <x:c r="D65" s="74" t="n">
        <x:v>2715.953</x:v>
      </x:c>
      <x:c r="E65" s="74" t="n">
        <x:v>4334.059</x:v>
      </x:c>
      <x:c r="F65" s="79" t="n">
        <x:v>4413462.63</x:v>
      </x:c>
    </x:row>
    <x:row r="66" ht="15" hidden="0" customHeight="1">
      <x:c r="A66" s="74" t="str">
        <x:v>2026-11</x:v>
      </x:c>
      <x:c r="B66" s="74" t="str">
        <x:v>Accessories</x:v>
      </x:c>
      <x:c r="C66" s="74" t="n">
        <x:v>7698.278</x:v>
      </x:c>
      <x:c r="D66" s="74" t="n">
        <x:v>6206.793</x:v>
      </x:c>
      <x:c r="E66" s="74" t="n">
        <x:v>9189.762</x:v>
      </x:c>
      <x:c r="F66" s="79" t="n">
        <x:v>6251360.77</x:v>
      </x:c>
    </x:row>
    <x:row r="67" ht="15" hidden="0" customHeight="1">
      <x:c r="A67" s="74" t="str">
        <x:v>2026-11</x:v>
      </x:c>
      <x:c r="B67" s="74" t="str">
        <x:v>Bottoms</x:v>
      </x:c>
      <x:c r="C67" s="74" t="n">
        <x:v>4885.179</x:v>
      </x:c>
      <x:c r="D67" s="74" t="n">
        <x:v>3870.712</x:v>
      </x:c>
      <x:c r="E67" s="74" t="n">
        <x:v>5899.645</x:v>
      </x:c>
      <x:c r="F67" s="79" t="n">
        <x:v>6953093.4</x:v>
      </x:c>
    </x:row>
    <x:row r="68" ht="15" hidden="0" customHeight="1">
      <x:c r="A68" s="74" t="str">
        <x:v>2026-11</x:v>
      </x:c>
      <x:c r="B68" s="74" t="str">
        <x:v>Dresses</x:v>
      </x:c>
      <x:c r="C68" s="74" t="n">
        <x:v>4622.592</x:v>
      </x:c>
      <x:c r="D68" s="74" t="n">
        <x:v>3539.931</x:v>
      </x:c>
      <x:c r="E68" s="74" t="n">
        <x:v>5705.25</x:v>
      </x:c>
      <x:c r="F68" s="79" t="n">
        <x:v>10575150.42</x:v>
      </x:c>
    </x:row>
    <x:row r="69" ht="15" hidden="0" customHeight="1">
      <x:c r="A69" s="74" t="str">
        <x:v>2026-11</x:v>
      </x:c>
      <x:c r="B69" s="74" t="str">
        <x:v>Knitwear</x:v>
      </x:c>
      <x:c r="C69" s="74" t="n">
        <x:v>5327.778</x:v>
      </x:c>
      <x:c r="D69" s="74" t="n">
        <x:v>4117.051</x:v>
      </x:c>
      <x:c r="E69" s="74" t="n">
        <x:v>6538.51</x:v>
      </x:c>
      <x:c r="F69" s="79" t="n">
        <x:v>6215647.74</x:v>
      </x:c>
    </x:row>
    <x:row r="70" ht="15" hidden="0" customHeight="1">
      <x:c r="A70" s="74" t="str">
        <x:v>2026-11</x:v>
      </x:c>
      <x:c r="B70" s="74" t="str">
        <x:v>Outerwear</x:v>
      </x:c>
      <x:c r="C70" s="74" t="n">
        <x:v>3012.046</x:v>
      </x:c>
      <x:c r="D70" s="74" t="n">
        <x:v>2286.4320000000002</x:v>
      </x:c>
      <x:c r="E70" s="74" t="n">
        <x:v>3737.662</x:v>
      </x:c>
      <x:c r="F70" s="79" t="n">
        <x:v>7792882.85</x:v>
      </x:c>
    </x:row>
    <x:row r="71" ht="15" hidden="0" customHeight="1">
      <x:c r="A71" s="74" t="str">
        <x:v>2026-11</x:v>
      </x:c>
      <x:c r="B71" s="74" t="str">
        <x:v>Tops</x:v>
      </x:c>
      <x:c r="C71" s="74" t="n">
        <x:v>5140.49</x:v>
      </x:c>
      <x:c r="D71" s="74" t="n">
        <x:v>4129.175</x:v>
      </x:c>
      <x:c r="E71" s="74" t="n">
        <x:v>6151.804</x:v>
      </x:c>
      <x:c r="F71" s="79" t="n">
        <x:v>5308557.26</x:v>
      </x:c>
    </x:row>
    <x:row r="72" ht="15" hidden="0" customHeight="1">
      <x:c r="A72" s="74" t="str">
        <x:v>2026-12</x:v>
      </x:c>
      <x:c r="B72" s="74" t="str">
        <x:v>Accessories</x:v>
      </x:c>
      <x:c r="C72" s="74" t="n">
        <x:v>5614.797</x:v>
      </x:c>
      <x:c r="D72" s="74" t="n">
        <x:v>4421.609</x:v>
      </x:c>
      <x:c r="E72" s="74" t="n">
        <x:v>6807.986</x:v>
      </x:c>
      <x:c r="F72" s="79" t="n">
        <x:v>4723506.88</x:v>
      </x:c>
    </x:row>
    <x:row r="73" ht="15" hidden="0" customHeight="1">
      <x:c r="A73" s="74" t="str">
        <x:v>2026-12</x:v>
      </x:c>
      <x:c r="B73" s="74" t="str">
        <x:v>Bottoms</x:v>
      </x:c>
      <x:c r="C73" s="74" t="n">
        <x:v>3461.422</x:v>
      </x:c>
      <x:c r="D73" s="74" t="n">
        <x:v>2649.851</x:v>
      </x:c>
      <x:c r="E73" s="74" t="n">
        <x:v>4272.995</x:v>
      </x:c>
      <x:c r="F73" s="79" t="n">
        <x:v>5091902.68</x:v>
      </x:c>
    </x:row>
    <x:row r="74" ht="15" hidden="0" customHeight="1">
      <x:c r="A74" s="74" t="str">
        <x:v>2026-12</x:v>
      </x:c>
      <x:c r="B74" s="74" t="str">
        <x:v>Dresses</x:v>
      </x:c>
      <x:c r="C74" s="74" t="n">
        <x:v>3106.094</x:v>
      </x:c>
      <x:c r="D74" s="74" t="n">
        <x:v>2239.963</x:v>
      </x:c>
      <x:c r="E74" s="74" t="n">
        <x:v>3972.219</x:v>
      </x:c>
      <x:c r="F74" s="79" t="n">
        <x:v>7300872.2</x:v>
      </x:c>
    </x:row>
    <x:row r="75" ht="15" hidden="0" customHeight="1">
      <x:c r="A75" s="74" t="str">
        <x:v>2026-12</x:v>
      </x:c>
      <x:c r="B75" s="74" t="str">
        <x:v>Knitwear</x:v>
      </x:c>
      <x:c r="C75" s="74" t="n">
        <x:v>4207.99</x:v>
      </x:c>
      <x:c r="D75" s="74" t="n">
        <x:v>3239.407</x:v>
      </x:c>
      <x:c r="E75" s="74" t="n">
        <x:v>5176.577</x:v>
      </x:c>
      <x:c r="F75" s="79" t="n">
        <x:v>5108599.75</x:v>
      </x:c>
    </x:row>
    <x:row r="76" ht="15" hidden="0" customHeight="1">
      <x:c r="A76" s="74" t="str">
        <x:v>2026-12</x:v>
      </x:c>
      <x:c r="B76" s="74" t="str">
        <x:v>Outerwear</x:v>
      </x:c>
      <x:c r="C76" s="74" t="n">
        <x:v>2216.501</x:v>
      </x:c>
      <x:c r="D76" s="74" t="n">
        <x:v>1636.006</x:v>
      </x:c>
      <x:c r="E76" s="74" t="n">
        <x:v>2796.994</x:v>
      </x:c>
      <x:c r="F76" s="79" t="n">
        <x:v>5895472.79</x:v>
      </x:c>
    </x:row>
    <x:row r="77" ht="15" hidden="0" customHeight="1">
      <x:c r="A77" s="74" t="str">
        <x:v>2026-12</x:v>
      </x:c>
      <x:c r="B77" s="74" t="str">
        <x:v>Tops</x:v>
      </x:c>
      <x:c r="C77" s="74" t="n">
        <x:v>3556.548</x:v>
      </x:c>
      <x:c r="D77" s="74" t="n">
        <x:v>2747.494</x:v>
      </x:c>
      <x:c r="E77" s="74" t="n">
        <x:v>4365.599</x:v>
      </x:c>
      <x:c r="F77" s="79" t="n">
        <x:v>3770192.93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5" customHeight="1">
      <x:c r="A1" s="68" t="str">
        <x:v>Supplier Scorecard</x:v>
      </x:c>
      <x:c r="B1" s="68"/>
      <x:c r="C1" s="68"/>
      <x:c r="D1" s="68"/>
      <x:c r="E1" s="68"/>
      <x:c r="F1" s="68"/>
    </x:row>
    <x:row r="2" ht="25" customHeight="1">
      <x:c r="A2" s="68"/>
      <x:c r="B2" s="68"/>
      <x:c r="C2" s="68"/>
      <x:c r="D2" s="68"/>
      <x:c r="E2" s="68"/>
      <x:c r="F2" s="68"/>
    </x:row>
    <x:row r="3" ht="15" hidden="0" customHeight="1">
      <x:c r="A3" s="71" t="str">
        <x:v>Purchase order volume, lead time, and delivery reliability</x:v>
      </x:c>
      <x:c r="B3" s="71"/>
      <x:c r="C3" s="71"/>
      <x:c r="D3" s="71"/>
      <x:c r="E3" s="71"/>
      <x:c r="F3" s="71"/>
    </x:row>
    <x:row r="4"/>
    <x:row r="5" ht="15" hidden="0" customHeight="1">
      <x:c r="A5" s="78" t="str">
        <x:v>SupplierID</x:v>
      </x:c>
      <x:c r="B5" s="78" t="str">
        <x:v>PurchaseOrders</x:v>
      </x:c>
      <x:c r="C5" s="78" t="str">
        <x:v>OrderedUnits</x:v>
      </x:c>
      <x:c r="D5" s="78" t="str">
        <x:v>PurchaseValueTRY</x:v>
      </x:c>
      <x:c r="E5" s="78" t="str">
        <x:v>AverageActualLeadTimeDays</x:v>
      </x:c>
      <x:c r="F5" s="78" t="str">
        <x:v>OnTimeDeliveryRate</x:v>
      </x:c>
      <x:c r="G5" s="78" t="str">
        <x:v>SKUCount</x:v>
      </x:c>
    </x:row>
    <x:row r="6" ht="15" hidden="0" customHeight="1">
      <x:c r="A6" s="74" t="str">
        <x:v>SUP-001</x:v>
      </x:c>
      <x:c r="B6" s="74" t="n">
        <x:v>158</x:v>
      </x:c>
      <x:c r="C6" s="74" t="n">
        <x:v>71782</x:v>
      </x:c>
      <x:c r="D6" s="85" t="n">
        <x:v>65379118.36</x:v>
      </x:c>
      <x:c r="E6" s="74" t="n">
        <x:v>13.734177215189874</x:v>
      </x:c>
      <x:c r="F6" s="80" t="n">
        <x:v>0.08227848101265822</x:v>
      </x:c>
      <x:c r="G6" s="74" t="n">
        <x:v>7</x:v>
      </x:c>
    </x:row>
    <x:row r="7" ht="15" hidden="0" customHeight="1">
      <x:c r="A7" s="74" t="str">
        <x:v>SUP-007</x:v>
      </x:c>
      <x:c r="B7" s="74" t="n">
        <x:v>175</x:v>
      </x:c>
      <x:c r="C7" s="74" t="n">
        <x:v>79770</x:v>
      </x:c>
      <x:c r="D7" s="85" t="n">
        <x:v>60623988.12</x:v>
      </x:c>
      <x:c r="E7" s="74" t="n">
        <x:v>27.56</x:v>
      </x:c>
      <x:c r="F7" s="80" t="n">
        <x:v>0.9257142857142857</x:v>
      </x:c>
      <x:c r="G7" s="74" t="n">
        <x:v>8</x:v>
      </x:c>
    </x:row>
    <x:row r="8" ht="15" hidden="0" customHeight="1">
      <x:c r="A8" s="74" t="str">
        <x:v>SUP-005</x:v>
      </x:c>
      <x:c r="B8" s="74" t="n">
        <x:v>176</x:v>
      </x:c>
      <x:c r="C8" s="74" t="n">
        <x:v>80012</x:v>
      </x:c>
      <x:c r="D8" s="85" t="n">
        <x:v>56546971.82</x:v>
      </x:c>
      <x:c r="E8" s="74" t="n">
        <x:v>33.88636363636363</x:v>
      </x:c>
      <x:c r="F8" s="80" t="n">
        <x:v>0.9602272727272727</x:v>
      </x:c>
      <x:c r="G8" s="74" t="n">
        <x:v>8</x:v>
      </x:c>
    </x:row>
    <x:row r="9" ht="15" hidden="0" customHeight="1">
      <x:c r="A9" s="74" t="str">
        <x:v>SUP-006</x:v>
      </x:c>
      <x:c r="B9" s="74" t="n">
        <x:v>175</x:v>
      </x:c>
      <x:c r="C9" s="74" t="n">
        <x:v>82532</x:v>
      </x:c>
      <x:c r="D9" s="85" t="n">
        <x:v>51987402.56</x:v>
      </x:c>
      <x:c r="E9" s="74" t="n">
        <x:v>20.44</x:v>
      </x:c>
      <x:c r="F9" s="80" t="n">
        <x:v>0.9657142857142857</x:v>
      </x:c>
      <x:c r="G9" s="74" t="n">
        <x:v>8</x:v>
      </x:c>
    </x:row>
    <x:row r="10" ht="15" hidden="0" customHeight="1">
      <x:c r="A10" s="74" t="str">
        <x:v>SUP-002</x:v>
      </x:c>
      <x:c r="B10" s="74" t="n">
        <x:v>157</x:v>
      </x:c>
      <x:c r="C10" s="74" t="n">
        <x:v>71302</x:v>
      </x:c>
      <x:c r="D10" s="85" t="n">
        <x:v>39387562.06</x:v>
      </x:c>
      <x:c r="E10" s="74" t="n">
        <x:v>20.643312101910826</x:v>
      </x:c>
      <x:c r="F10" s="80" t="n">
        <x:v>0.9617834394904459</x:v>
      </x:c>
      <x:c r="G10" s="74" t="n">
        <x:v>7</x:v>
      </x:c>
    </x:row>
    <x:row r="11" ht="15" hidden="0" customHeight="1">
      <x:c r="A11" s="74" t="str">
        <x:v>SUP-003</x:v>
      </x:c>
      <x:c r="B11" s="74" t="n">
        <x:v>155</x:v>
      </x:c>
      <x:c r="C11" s="74" t="n">
        <x:v>71154</x:v>
      </x:c>
      <x:c r="D11" s="85" t="n">
        <x:v>38067184.88</x:v>
      </x:c>
      <x:c r="E11" s="74" t="n">
        <x:v>13.458064516129033</x:v>
      </x:c>
      <x:c r="F11" s="80" t="n">
        <x:v>0.9870967741935484</x:v>
      </x:c>
      <x:c r="G11" s="74" t="n">
        <x:v>7</x:v>
      </x:c>
    </x:row>
    <x:row r="12" ht="15" hidden="0" customHeight="1">
      <x:c r="A12" s="74" t="str">
        <x:v>SUP-004</x:v>
      </x:c>
      <x:c r="B12" s="74" t="n">
        <x:v>125</x:v>
      </x:c>
      <x:c r="C12" s="74" t="n">
        <x:v>53546</x:v>
      </x:c>
      <x:c r="D12" s="85" t="n">
        <x:v>34801033.32</x:v>
      </x:c>
      <x:c r="E12" s="74" t="n">
        <x:v>7</x:v>
      </x:c>
      <x:c r="F12" s="80" t="n">
        <x:v>0.96</x:v>
      </x:c>
      <x:c r="G12" s="74" t="n">
        <x:v>8</x:v>
      </x:c>
    </x:row>
    <x:row r="13" ht="15" hidden="0" customHeight="1">
      <x:c r="A13" s="74" t="str">
        <x:v>SUP-008</x:v>
      </x:c>
      <x:c r="B13" s="74" t="n">
        <x:v>87</x:v>
      </x:c>
      <x:c r="C13" s="74" t="n">
        <x:v>39080</x:v>
      </x:c>
      <x:c r="D13" s="85" t="n">
        <x:v>26896810.44</x:v>
      </x:c>
      <x:c r="E13" s="74" t="n">
        <x:v>7.080459770114943</x:v>
      </x:c>
      <x:c r="F13" s="80" t="n">
        <x:v>0.9195402298850575</x:v>
      </x:c>
      <x:c r="G13" s="74" t="n">
        <x:v>7</x:v>
      </x:c>
    </x:row>
  </x:sheetData>
  <x:mergeCells>
    <x:mergeCell ref="A1:F2"/>
    <x:mergeCell ref="A3:F3"/>
  </x:mergeCells>
  <x:pageMargins left="0.7" right="0.7" top="0.75" bottom="0.75" header="0.3" footer="0.3"/>
  <x:drawing xmlns:r="http://schemas.openxmlformats.org/officeDocument/2006/relationships" r:id="R561766ad77f2491c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25" customHeight="1">
      <x:c r="A1" s="68" t="str">
        <x:v>Scenario Data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</x:row>
    <x:row r="2" ht="25" customHeight="1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</x:row>
    <x:row r="3" ht="15" hidden="0" customHeight="1">
      <x:c r="A3" s="71" t="str">
        <x:v>Precalculated inventory scenarios generated by the Python optimization engine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</x:row>
    <x:row r="4"/>
    <x:row r="5" ht="21.600000381469727" hidden="0" customHeight="1">
      <x:c r="A5" s="78" t="str">
        <x:v>Scenario</x:v>
      </x:c>
      <x:c r="B5" s="78" t="str">
        <x:v>ForecastUnits</x:v>
      </x:c>
      <x:c r="C5" s="78" t="str">
        <x:v>ForecastRevenueTRY</x:v>
      </x:c>
      <x:c r="D5" s="78" t="str">
        <x:v>RecommendedInvestmentTRY</x:v>
      </x:c>
      <x:c r="E5" s="78" t="str">
        <x:v>RecommendedOrderUnits</x:v>
      </x:c>
      <x:c r="F5" s="78" t="str">
        <x:v>AverageWeeksOfSupply</x:v>
      </x:c>
      <x:c r="G5" s="78" t="str">
        <x:v>AverageSafetyStockUnits</x:v>
      </x:c>
      <x:c r="H5" s="78" t="str">
        <x:v>SKUsToOrder</x:v>
      </x:c>
      <x:c r="I5" s="78" t="str">
        <x:v>OverstockReviewSKUs</x:v>
      </x:c>
      <x:c r="J5" s="78" t="str">
        <x:v>ProjectedGrossMarginTRY</x:v>
      </x:c>
      <x:c r="K5" s="78" t="str">
        <x:v>InventoryInvestmentToRevenuePct</x:v>
      </x:c>
    </x:row>
    <x:row r="6" ht="15" hidden="0" customHeight="1">
      <x:c r="A6" s="74" t="str">
        <x:v>Base</x:v>
      </x:c>
      <x:c r="B6" s="74" t="n">
        <x:v>242442.92799999999</x:v>
      </x:c>
      <x:c r="C6" s="85" t="n">
        <x:v>397832123.74</x:v>
      </x:c>
      <x:c r="D6" s="85" t="n">
        <x:v>5329322.9</x:v>
      </x:c>
      <x:c r="E6" s="74" t="n">
        <x:v>7780</x:v>
      </x:c>
      <x:c r="F6" s="74" t="n">
        <x:v>5.706183333333333</x:v>
      </x:c>
      <x:c r="G6" s="74" t="n">
        <x:v>47.056799999999996</x:v>
      </x:c>
      <x:c r="H6" s="74" t="n">
        <x:v>10</x:v>
      </x:c>
      <x:c r="I6" s="74" t="n">
        <x:v>0</x:v>
      </x:c>
      <x:c r="J6" s="85" t="n">
        <x:v>230742631.77</x:v>
      </x:c>
      <x:c r="K6" s="80" t="n">
        <x:v>0.0134</x:v>
      </x:c>
    </x:row>
    <x:row r="7" ht="15" hidden="0" customHeight="1">
      <x:c r="A7" s="74" t="str">
        <x:v>Growth</x:v>
      </x:c>
      <x:c r="B7" s="74" t="n">
        <x:v>278809.369</x:v>
      </x:c>
      <x:c r="C7" s="85" t="n">
        <x:v>457506942.26</x:v>
      </x:c>
      <x:c r="D7" s="85" t="n">
        <x:v>8180082.28</x:v>
      </x:c>
      <x:c r="E7" s="74" t="n">
        <x:v>12160</x:v>
      </x:c>
      <x:c r="F7" s="74" t="n">
        <x:v>4.961916666666666</x:v>
      </x:c>
      <x:c r="G7" s="74" t="n">
        <x:v>58.802033333333334</x:v>
      </x:c>
      <x:c r="H7" s="74" t="n">
        <x:v>13</x:v>
      </x:c>
      <x:c r="I7" s="74" t="n">
        <x:v>0</x:v>
      </x:c>
      <x:c r="J7" s="85" t="n">
        <x:v>265354026.51</x:v>
      </x:c>
      <x:c r="K7" s="80" t="n">
        <x:v>0.0179</x:v>
      </x:c>
    </x:row>
    <x:row r="8" ht="15" hidden="0" customHeight="1">
      <x:c r="A8" s="74" t="str">
        <x:v>Lean</x:v>
      </x:c>
      <x:c r="B8" s="74" t="n">
        <x:v>218198.637</x:v>
      </x:c>
      <x:c r="C8" s="85" t="n">
        <x:v>358048911.36</x:v>
      </x:c>
      <x:c r="D8" s="85" t="n">
        <x:v>3788071.04</x:v>
      </x:c>
      <x:c r="E8" s="74" t="n">
        <x:v>5360</x:v>
      </x:c>
      <x:c r="F8" s="74" t="n">
        <x:v>6.3402666666666665</x:v>
      </x:c>
      <x:c r="G8" s="74" t="n">
        <x:v>37.32926666666666</x:v>
      </x:c>
      <x:c r="H8" s="74" t="n">
        <x:v>7</x:v>
      </x:c>
      <x:c r="I8" s="74" t="n">
        <x:v>0</x:v>
      </x:c>
      <x:c r="J8" s="85" t="n">
        <x:v>207668368.59</x:v>
      </x:c>
      <x:c r="K8" s="80" t="n">
        <x:v>0.0106</x:v>
      </x:c>
    </x:row>
    <x:row r="9" ht="15" hidden="0" customHeight="1">
      <x:c r="A9" s="74" t="str">
        <x:v>Resilience</x:v>
      </x:c>
      <x:c r="B9" s="74" t="n">
        <x:v>254565.077</x:v>
      </x:c>
      <x:c r="C9" s="85" t="n">
        <x:v>417723729.91</x:v>
      </x:c>
      <x:c r="D9" s="85" t="n">
        <x:v>13515896.9</x:v>
      </x:c>
      <x:c r="E9" s="74" t="n">
        <x:v>20020</x:v>
      </x:c>
      <x:c r="F9" s="74" t="n">
        <x:v>5.4345</x:v>
      </x:c>
      <x:c r="G9" s="74" t="n">
        <x:v>80.65011666666666</x:v>
      </x:c>
      <x:c r="H9" s="74" t="n">
        <x:v>30</x:v>
      </x:c>
      <x:c r="I9" s="74" t="n">
        <x:v>0</x:v>
      </x:c>
      <x:c r="J9" s="85" t="n">
        <x:v>242279763.35</x:v>
      </x:c>
      <x:c r="K9" s="80" t="n">
        <x:v>0.0324</x:v>
      </x:c>
    </x:row>
  </x:sheetData>
  <x:mergeCells>
    <x:mergeCell ref="A1:K2"/>
    <x:mergeCell ref="A3:K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4" max="4" width="20" hidden="0" customWidth="1"/>
    <x:col min="5" max="5" width="22" hidden="0" customWidth="1"/>
  </x:cols>
  <x:sheetData>
    <x:row r="1" ht="25" customHeight="1">
      <x:c r="A1" s="68" t="str">
        <x:v>Dashboard Data</x:v>
      </x:c>
      <x:c r="B1" s="68"/>
      <x:c r="C1" s="68"/>
      <x:c r="D1" s="68"/>
      <x:c r="E1" s="68"/>
    </x:row>
    <x:row r="2" ht="25" customHeight="1">
      <x:c r="A2" s="68"/>
      <x:c r="B2" s="68"/>
      <x:c r="C2" s="68"/>
      <x:c r="D2" s="68"/>
      <x:c r="E2" s="68"/>
    </x:row>
    <x:row r="3" ht="15" hidden="0" customHeight="1">
      <x:c r="A3" s="71" t="str">
        <x:v>Auditable helper ranges used by the Executive Dashboard charts</x:v>
      </x:c>
      <x:c r="B3" s="71"/>
      <x:c r="C3" s="71"/>
      <x:c r="D3" s="71"/>
      <x:c r="E3" s="71"/>
    </x:row>
    <x:row r="4"/>
    <x:row r="5" ht="15" hidden="0" customHeight="1">
      <x:c r="A5" s="78" t="str">
        <x:v>YearMonth</x:v>
      </x:c>
      <x:c r="B5" s="78" t="str">
        <x:v>NetRevenueTRY</x:v>
      </x:c>
      <x:c r="D5" s="78" t="str">
        <x:v>Category</x:v>
      </x:c>
      <x:c r="E5" s="78" t="str">
        <x:v>Historical Revenue</x:v>
      </x:c>
    </x:row>
    <x:row r="6" ht="15" hidden="0" customHeight="1">
      <x:c r="A6" s="74" t="str">
        <x:v>2023-01</x:v>
      </x:c>
      <x:c r="B6" s="79" t="n">
        <x:v>28651604.2</x:v>
      </x:c>
      <x:c r="D6" s="74" t="str">
        <x:v>Dresses</x:v>
      </x:c>
      <x:c r="E6" s="79" t="n">
        <x:v>247936743.1</x:v>
      </x:c>
    </x:row>
    <x:row r="7" ht="15" hidden="0" customHeight="1">
      <x:c r="A7" s="74" t="str">
        <x:v>2023-02</x:v>
      </x:c>
      <x:c r="B7" s="79" t="n">
        <x:v>22550934</x:v>
      </x:c>
      <x:c r="D7" s="74" t="str">
        <x:v>Tops</x:v>
      </x:c>
      <x:c r="E7" s="79" t="n">
        <x:v>149617454.2</x:v>
      </x:c>
    </x:row>
    <x:row r="8" ht="15" hidden="0" customHeight="1">
      <x:c r="A8" s="74" t="str">
        <x:v>2023-03</x:v>
      </x:c>
      <x:c r="B8" s="79" t="n">
        <x:v>23120062.2</x:v>
      </x:c>
      <x:c r="D8" s="74" t="str">
        <x:v>Outerwear</x:v>
      </x:c>
      <x:c r="E8" s="79" t="n">
        <x:v>147270231.5</x:v>
      </x:c>
    </x:row>
    <x:row r="9" ht="15" hidden="0" customHeight="1">
      <x:c r="A9" s="74" t="str">
        <x:v>2023-04</x:v>
      </x:c>
      <x:c r="B9" s="79" t="n">
        <x:v>23393850.8</x:v>
      </x:c>
      <x:c r="D9" s="74" t="str">
        <x:v>Bottoms</x:v>
      </x:c>
      <x:c r="E9" s="79" t="n">
        <x:v>136841547.7</x:v>
      </x:c>
    </x:row>
    <x:row r="10" ht="15" hidden="0" customHeight="1">
      <x:c r="A10" s="74" t="str">
        <x:v>2023-05</x:v>
      </x:c>
      <x:c r="B10" s="79" t="n">
        <x:v>28676542</x:v>
      </x:c>
      <x:c r="D10" s="74" t="str">
        <x:v>Knitwear</x:v>
      </x:c>
      <x:c r="E10" s="79" t="n">
        <x:v>113612194.2</x:v>
      </x:c>
    </x:row>
    <x:row r="11" ht="15" hidden="0" customHeight="1">
      <x:c r="A11" s="74" t="str">
        <x:v>2023-06</x:v>
      </x:c>
      <x:c r="B11" s="79" t="n">
        <x:v>23534702.8</x:v>
      </x:c>
      <x:c r="D11" s="74" t="str">
        <x:v>Accessories</x:v>
      </x:c>
      <x:c r="E11" s="79" t="n">
        <x:v>96446187.8</x:v>
      </x:c>
    </x:row>
    <x:row r="12" ht="15" hidden="0" customHeight="1">
      <x:c r="A12" s="74" t="str">
        <x:v>2023-07</x:v>
      </x:c>
      <x:c r="B12" s="79" t="n">
        <x:v>29625929.6</x:v>
      </x:c>
    </x:row>
    <x:row r="13" ht="15" hidden="0" customHeight="1">
      <x:c r="A13" s="74" t="str">
        <x:v>2023-08</x:v>
      </x:c>
      <x:c r="B13" s="79" t="n">
        <x:v>23291871.6</x:v>
      </x:c>
    </x:row>
    <x:row r="14" ht="15" hidden="0" customHeight="1">
      <x:c r="A14" s="74" t="str">
        <x:v>2023-09</x:v>
      </x:c>
      <x:c r="B14" s="79" t="n">
        <x:v>23727578</x:v>
      </x:c>
    </x:row>
    <x:row r="15" ht="15" hidden="0" customHeight="1">
      <x:c r="A15" s="74" t="str">
        <x:v>2023-10</x:v>
      </x:c>
      <x:c r="B15" s="79" t="n">
        <x:v>28775301</x:v>
      </x:c>
    </x:row>
    <x:row r="16" ht="15" hidden="0" customHeight="1">
      <x:c r="A16" s="74" t="str">
        <x:v>2023-11</x:v>
      </x:c>
      <x:c r="B16" s="79" t="n">
        <x:v>25414100</x:v>
      </x:c>
    </x:row>
    <x:row r="17" ht="15" hidden="0" customHeight="1">
      <x:c r="A17" s="74" t="str">
        <x:v>2023-12</x:v>
      </x:c>
      <x:c r="B17" s="79" t="n">
        <x:v>22902876.8</x:v>
      </x:c>
    </x:row>
    <x:row r="18" ht="15" hidden="0" customHeight="1">
      <x:c r="A18" s="74" t="str">
        <x:v>2024-01</x:v>
      </x:c>
      <x:c r="B18" s="79" t="n">
        <x:v>26666321</x:v>
      </x:c>
    </x:row>
    <x:row r="19" ht="15" hidden="0" customHeight="1">
      <x:c r="A19" s="74" t="str">
        <x:v>2024-02</x:v>
      </x:c>
      <x:c r="B19" s="79" t="n">
        <x:v>22030535.8</x:v>
      </x:c>
    </x:row>
    <x:row r="20" ht="15" hidden="0" customHeight="1">
      <x:c r="A20" s="74" t="str">
        <x:v>2024-03</x:v>
      </x:c>
      <x:c r="B20" s="79" t="n">
        <x:v>23272860.4</x:v>
      </x:c>
    </x:row>
    <x:row r="21" ht="15" hidden="0" customHeight="1">
      <x:c r="A21" s="74" t="str">
        <x:v>2024-04</x:v>
      </x:c>
      <x:c r="B21" s="79" t="n">
        <x:v>28271612.8</x:v>
      </x:c>
    </x:row>
    <x:row r="22" ht="15" hidden="0" customHeight="1">
      <x:c r="A22" s="74" t="str">
        <x:v>2024-05</x:v>
      </x:c>
      <x:c r="B22" s="79" t="n">
        <x:v>22496532.2</x:v>
      </x:c>
    </x:row>
    <x:row r="23" ht="15" hidden="0" customHeight="1">
      <x:c r="A23" s="74" t="str">
        <x:v>2024-06</x:v>
      </x:c>
      <x:c r="B23" s="79" t="n">
        <x:v>21954417.6</x:v>
      </x:c>
    </x:row>
    <x:row r="24" ht="15" hidden="0" customHeight="1">
      <x:c r="A24" s="74" t="str">
        <x:v>2024-07</x:v>
      </x:c>
      <x:c r="B24" s="79" t="n">
        <x:v>26825370.4</x:v>
      </x:c>
    </x:row>
    <x:row r="25" ht="15" hidden="0" customHeight="1">
      <x:c r="A25" s="74" t="str">
        <x:v>2024-08</x:v>
      </x:c>
      <x:c r="B25" s="79" t="n">
        <x:v>21141028.4</x:v>
      </x:c>
    </x:row>
    <x:row r="26" ht="15" hidden="0" customHeight="1">
      <x:c r="A26" s="74" t="str">
        <x:v>2024-09</x:v>
      </x:c>
      <x:c r="B26" s="79" t="n">
        <x:v>27765102.2</x:v>
      </x:c>
    </x:row>
    <x:row r="27" ht="15" hidden="0" customHeight="1">
      <x:c r="A27" s="74" t="str">
        <x:v>2024-10</x:v>
      </x:c>
      <x:c r="B27" s="79" t="n">
        <x:v>21863681.2</x:v>
      </x:c>
    </x:row>
    <x:row r="28" ht="15" hidden="0" customHeight="1">
      <x:c r="A28" s="74" t="str">
        <x:v>2024-11</x:v>
      </x:c>
      <x:c r="B28" s="79" t="n">
        <x:v>24960836.6</x:v>
      </x:c>
    </x:row>
    <x:row r="29" ht="15" hidden="0" customHeight="1">
      <x:c r="A29" s="74" t="str">
        <x:v>2024-12</x:v>
      </x:c>
      <x:c r="B29" s="79" t="n">
        <x:v>26137949.7</x:v>
      </x:c>
    </x:row>
    <x:row r="30" ht="15" hidden="0" customHeight="1">
      <x:c r="A30" s="74" t="str">
        <x:v>2025-01</x:v>
      </x:c>
      <x:c r="B30" s="79" t="n">
        <x:v>20839552</x:v>
      </x:c>
    </x:row>
    <x:row r="31" ht="15" hidden="0" customHeight="1">
      <x:c r="A31" s="74" t="str">
        <x:v>2025-02</x:v>
      </x:c>
      <x:c r="B31" s="79" t="n">
        <x:v>22055447.6</x:v>
      </x:c>
    </x:row>
    <x:row r="32" ht="15" hidden="0" customHeight="1">
      <x:c r="A32" s="74" t="str">
        <x:v>2025-03</x:v>
      </x:c>
      <x:c r="B32" s="79" t="n">
        <x:v>28766428.8</x:v>
      </x:c>
    </x:row>
    <x:row r="33" ht="15" hidden="0" customHeight="1">
      <x:c r="A33" s="74" t="str">
        <x:v>2025-04</x:v>
      </x:c>
      <x:c r="B33" s="79" t="n">
        <x:v>22483145.4</x:v>
      </x:c>
    </x:row>
    <x:row r="34" ht="15" hidden="0" customHeight="1">
      <x:c r="A34" s="74" t="str">
        <x:v>2025-05</x:v>
      </x:c>
      <x:c r="B34" s="79" t="n">
        <x:v>22465750.8</x:v>
      </x:c>
    </x:row>
    <x:row r="35" ht="15" hidden="0" customHeight="1">
      <x:c r="A35" s="74" t="str">
        <x:v>2025-06</x:v>
      </x:c>
      <x:c r="B35" s="79" t="n">
        <x:v>27659127</x:v>
      </x:c>
    </x:row>
    <x:row r="36" ht="15" hidden="0" customHeight="1">
      <x:c r="A36" s="74" t="str">
        <x:v>2025-07</x:v>
      </x:c>
      <x:c r="B36" s="79" t="n">
        <x:v>20182863.2</x:v>
      </x:c>
    </x:row>
    <x:row r="37" ht="15" hidden="0" customHeight="1">
      <x:c r="A37" s="74" t="str">
        <x:v>2025-08</x:v>
      </x:c>
      <x:c r="B37" s="79" t="n">
        <x:v>22554720.4</x:v>
      </x:c>
    </x:row>
    <x:row r="38" ht="15" hidden="0" customHeight="1">
      <x:c r="A38" s="74" t="str">
        <x:v>2025-09</x:v>
      </x:c>
      <x:c r="B38" s="79" t="n">
        <x:v>28666390.4</x:v>
      </x:c>
    </x:row>
    <x:row r="39" ht="15" hidden="0" customHeight="1">
      <x:c r="A39" s="74" t="str">
        <x:v>2025-10</x:v>
      </x:c>
      <x:c r="B39" s="79" t="n">
        <x:v>22854291</x:v>
      </x:c>
    </x:row>
    <x:row r="40" ht="15" hidden="0" customHeight="1">
      <x:c r="A40" s="74" t="str">
        <x:v>2025-11</x:v>
      </x:c>
      <x:c r="B40" s="79" t="n">
        <x:v>26242703.4</x:v>
      </x:c>
    </x:row>
    <x:row r="41" ht="15" hidden="0" customHeight="1">
      <x:c r="A41" s="74" t="str">
        <x:v>2025-12</x:v>
      </x:c>
      <x:c r="B41" s="79" t="n">
        <x:v>29902337.2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6" max="6" width="24" hidden="0" customWidth="1"/>
    <x:col min="7" max="7" width="48" hidden="0" customWidth="1"/>
    <x:col min="8" max="8" width="26" hidden="0" customWidth="1"/>
  </x:cols>
  <x:sheetData>
    <x:row r="1" ht="25" customHeight="1">
      <x:c r="A1" s="68" t="str">
        <x:v>Assumptions &amp; Methodology</x:v>
      </x:c>
      <x:c r="B1" s="68"/>
      <x:c r="C1" s="68"/>
      <x:c r="D1" s="68"/>
      <x:c r="E1" s="68"/>
      <x:c r="F1" s="68"/>
      <x:c r="G1" s="68"/>
      <x:c r="H1" s="68"/>
    </x:row>
    <x:row r="2" ht="25" customHeight="1">
      <x:c r="A2" s="68"/>
      <x:c r="B2" s="68"/>
      <x:c r="C2" s="68"/>
      <x:c r="D2" s="68"/>
      <x:c r="E2" s="68"/>
      <x:c r="F2" s="68"/>
      <x:c r="G2" s="68"/>
      <x:c r="H2" s="68"/>
    </x:row>
    <x:row r="3" ht="15" hidden="0" customHeight="1">
      <x:c r="A3" s="71" t="str">
        <x:v>Editable business assumptions and model definitions</x:v>
      </x:c>
      <x:c r="B3" s="71"/>
      <x:c r="C3" s="71"/>
      <x:c r="D3" s="71"/>
      <x:c r="E3" s="71"/>
      <x:c r="F3" s="71"/>
      <x:c r="G3" s="71"/>
      <x:c r="H3" s="71"/>
    </x:row>
    <x:row r="4"/>
    <x:row r="5" ht="15" hidden="0" customHeight="1">
      <x:c r="A5" s="78" t="str">
        <x:v>Scenario</x:v>
      </x:c>
      <x:c r="B5" s="78" t="str">
        <x:v>Demand Multiplier</x:v>
      </x:c>
      <x:c r="C5" s="78" t="str">
        <x:v>Service Level Delta</x:v>
      </x:c>
      <x:c r="D5" s="78" t="str">
        <x:v>Lead Time Delta (Days)</x:v>
      </x:c>
      <x:c r="F5" s="78" t="str">
        <x:v>Model / Rule</x:v>
      </x:c>
      <x:c r="G5" s="78" t="str">
        <x:v>Definition</x:v>
      </x:c>
      <x:c r="H5" s="78" t="str">
        <x:v>Decision Use</x:v>
      </x:c>
    </x:row>
    <x:row r="6" ht="15" hidden="0" customHeight="1">
      <x:c r="A6" s="74" t="str">
        <x:v>Lean</x:v>
      </x:c>
      <x:c r="B6" s="88" t="n">
        <x:v>0.9</x:v>
      </x:c>
      <x:c r="C6" s="88" t="n">
        <x:v>-0.02</x:v>
      </x:c>
      <x:c r="D6" s="89" t="n">
        <x:v>0</x:v>
      </x:c>
      <x:c r="F6" s="74" t="str">
        <x:v>Seasonal Naive</x:v>
      </x:c>
      <x:c r="G6" s="74" t="str">
        <x:v>Same ISO week from prior year</x:v>
      </x:c>
      <x:c r="H6" s="74" t="str">
        <x:v>Transparent seasonal baseline</x:v>
      </x:c>
    </x:row>
    <x:row r="7" ht="15" hidden="0" customHeight="1">
      <x:c r="A7" s="74" t="str">
        <x:v>Base</x:v>
      </x:c>
      <x:c r="B7" s="88" t="n">
        <x:v>1</x:v>
      </x:c>
      <x:c r="C7" s="88" t="n">
        <x:v>0</x:v>
      </x:c>
      <x:c r="D7" s="89" t="n">
        <x:v>0</x:v>
      </x:c>
      <x:c r="F7" s="74" t="str">
        <x:v>8-Week Moving Average</x:v>
      </x:c>
      <x:c r="G7" s="74" t="str">
        <x:v>35% 4-week + 65% 13-week mean</x:v>
      </x:c>
      <x:c r="H7" s="74" t="str">
        <x:v>Stable short-term baseline</x:v>
      </x:c>
    </x:row>
    <x:row r="8" ht="15" hidden="0" customHeight="1">
      <x:c r="A8" s="74" t="str">
        <x:v>Growth</x:v>
      </x:c>
      <x:c r="B8" s="88" t="n">
        <x:v>1.15</x:v>
      </x:c>
      <x:c r="C8" s="88" t="n">
        <x:v>0.01</x:v>
      </x:c>
      <x:c r="D8" s="89" t="n">
        <x:v>0</x:v>
      </x:c>
      <x:c r="F8" s="74" t="str">
        <x:v>Gradient Boosting</x:v>
      </x:c>
      <x:c r="G8" s="74" t="str">
        <x:v>Calendar, promotion, lag, and rolling features</x:v>
      </x:c>
      <x:c r="H8" s="74" t="str">
        <x:v>Non-linear demand patterns</x:v>
      </x:c>
    </x:row>
    <x:row r="9" ht="15" hidden="0" customHeight="1">
      <x:c r="A9" s="74" t="str">
        <x:v>Resilience</x:v>
      </x:c>
      <x:c r="B9" s="88" t="n">
        <x:v>1.05</x:v>
      </x:c>
      <x:c r="C9" s="88" t="n">
        <x:v>0.02</x:v>
      </x:c>
      <x:c r="D9" s="89" t="n">
        <x:v>14</x:v>
      </x:c>
      <x:c r="F9" s="74" t="str">
        <x:v>Champion Selection</x:v>
      </x:c>
      <x:c r="G9" s="74" t="str">
        <x:v>Lowest SKU-level WAPE on last 13 weeks</x:v>
      </x:c>
      <x:c r="H9" s="74" t="str">
        <x:v>Model governance</x:v>
      </x:c>
    </x:row>
    <x:row r="10" ht="15" hidden="0" customHeight="1">
      <x:c r="A10" s="74" t="str">
        <x:v>Custom</x:v>
      </x:c>
      <x:c r="B10" s="88" t="n">
        <x:v>1</x:v>
      </x:c>
      <x:c r="C10" s="88" t="n">
        <x:v>0</x:v>
      </x:c>
      <x:c r="D10" s="89" t="n">
        <x:v>0</x:v>
      </x:c>
      <x:c r="F10" s="74" t="str">
        <x:v>Safety Stock</x:v>
      </x:c>
      <x:c r="G10" s="74" t="str">
        <x:v>z × residual std × sqrt(lead-time weeks)</x:v>
      </x:c>
      <x:c r="H10" s="74" t="str">
        <x:v>Service-level protection</x:v>
      </x:c>
    </x:row>
    <x:row r="11" ht="15" hidden="0" customHeight="1">
      <x:c r="F11" s="74" t="str">
        <x:v>EOQ</x:v>
      </x:c>
      <x:c r="G11" s="74" t="str">
        <x:v>sqrt(2 × annual demand × order cost / holding cost)</x:v>
      </x:c>
      <x:c r="H11" s="74" t="str">
        <x:v>Order-size economics</x:v>
      </x:c>
    </x:row>
    <x:row r="12"/>
    <x:row r="13" ht="15" hidden="0" customHeight="1">
      <x:c r="A13" s="78" t="str">
        <x:v>Global Input</x:v>
      </x:c>
      <x:c r="B13" s="78" t="str">
        <x:v>Value</x:v>
      </x:c>
      <x:c r="C13" s="78" t="str">
        <x:v>Unit</x:v>
      </x:c>
      <x:c r="D13" s="78" t="str">
        <x:v>Usage</x:v>
      </x:c>
    </x:row>
    <x:row r="14" ht="15" hidden="0" customHeight="1">
      <x:c r="A14" s="74" t="str">
        <x:v>Annual Holding Cost Rate</x:v>
      </x:c>
      <x:c r="B14" s="88" t="n">
        <x:v>0.24</x:v>
      </x:c>
      <x:c r="C14" s="74" t="str">
        <x:v>% of unit cost</x:v>
      </x:c>
      <x:c r="D14" s="74" t="str">
        <x:v>EOQ</x:v>
      </x:c>
    </x:row>
    <x:row r="15" ht="15" hidden="0" customHeight="1">
      <x:c r="A15" s="74" t="str">
        <x:v>Prediction Interval</x:v>
      </x:c>
      <x:c r="B15" s="88" t="n">
        <x:v>0.8</x:v>
      </x:c>
      <x:c r="C15" s="74" t="str">
        <x:v>probability</x:v>
      </x:c>
      <x:c r="D15" s="74" t="str">
        <x:v>Forecast bands</x:v>
      </x:c>
    </x:row>
    <x:row r="16" ht="15" hidden="0" customHeight="1">
      <x:c r="A16" s="74" t="str">
        <x:v>Backtest Horizon</x:v>
      </x:c>
      <x:c r="B16" s="89" t="n">
        <x:v>13</x:v>
      </x:c>
      <x:c r="C16" s="74" t="str">
        <x:v>weeks</x:v>
      </x:c>
      <x:c r="D16" s="74" t="str">
        <x:v>Model comparison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14" hidden="0" customWidth="1"/>
    <x:col min="4" max="4" width="48" hidden="0" customWidth="1"/>
    <x:col min="5" max="5" width="20" hidden="0" customWidth="1"/>
    <x:col min="6" max="6" width="22" hidden="0" customWidth="1"/>
    <x:col min="7" max="7" width="22" hidden="0" customWidth="1"/>
    <x:col min="8" max="8" width="23" hidden="0" customWidth="1"/>
  </x:cols>
  <x:sheetData>
    <x:row r="1" ht="25" customHeight="1">
      <x:c r="A1" s="68" t="str">
        <x:v>Data Dictionary</x:v>
      </x:c>
      <x:c r="B1" s="68"/>
      <x:c r="C1" s="68"/>
      <x:c r="D1" s="68"/>
      <x:c r="E1" s="68"/>
      <x:c r="F1" s="68"/>
      <x:c r="G1" s="68"/>
      <x:c r="H1" s="68"/>
    </x:row>
    <x:row r="2" ht="25" customHeight="1">
      <x:c r="A2" s="68"/>
      <x:c r="B2" s="68"/>
      <x:c r="C2" s="68"/>
      <x:c r="D2" s="68"/>
      <x:c r="E2" s="68"/>
      <x:c r="F2" s="68"/>
      <x:c r="G2" s="68"/>
      <x:c r="H2" s="68"/>
    </x:row>
    <x:row r="3" ht="15" hidden="0" customHeight="1">
      <x:c r="A3" s="71" t="str">
        <x:v>Primary entities and business definitions</x:v>
      </x:c>
      <x:c r="B3" s="71"/>
      <x:c r="C3" s="71"/>
      <x:c r="D3" s="71"/>
      <x:c r="E3" s="71"/>
      <x:c r="F3" s="71"/>
      <x:c r="G3" s="71"/>
      <x:c r="H3" s="71"/>
    </x:row>
    <x:row r="4"/>
    <x:row r="5" ht="15" hidden="0" customHeight="1">
      <x:c r="A5" s="78" t="str">
        <x:v>Table</x:v>
      </x:c>
      <x:c r="B5" s="78" t="str">
        <x:v>Field / Metric</x:v>
      </x:c>
      <x:c r="C5" s="78" t="str">
        <x:v>Type</x:v>
      </x:c>
      <x:c r="D5" s="78" t="str">
        <x:v>Definition</x:v>
      </x:c>
      <x:c r="E5" s="78" t="str">
        <x:v>Grain</x:v>
      </x:c>
      <x:c r="F5" s="78" t="str">
        <x:v>Source</x:v>
      </x:c>
      <x:c r="G5" s="78" t="str">
        <x:v>Owner</x:v>
      </x:c>
      <x:c r="H5" s="78" t="str">
        <x:v>Notes</x:v>
      </x:c>
    </x:row>
    <x:row r="6" ht="15" hidden="0" customHeight="1">
      <x:c r="A6" s="239" t="str">
        <x:v>dim_product</x:v>
      </x:c>
      <x:c r="B6" s="239" t="str">
        <x:v>SKU</x:v>
      </x:c>
      <x:c r="C6" s="239" t="str">
        <x:v>Text</x:v>
      </x:c>
      <x:c r="D6" s="239" t="str">
        <x:v>Unique stock keeping unit</x:v>
      </x:c>
      <x:c r="E6" s="239" t="str">
        <x:v>Product</x:v>
      </x:c>
      <x:c r="F6" s="239" t="str">
        <x:v>Synthetic generator</x:v>
      </x:c>
      <x:c r="G6" s="239" t="str">
        <x:v>Merchandising</x:v>
      </x:c>
      <x:c r="H6" s="239" t="str">
        <x:v>60 SKUs</x:v>
      </x:c>
    </x:row>
    <x:row r="7" ht="15" hidden="0" customHeight="1">
      <x:c r="A7" s="239" t="str">
        <x:v>dim_product</x:v>
      </x:c>
      <x:c r="B7" s="239" t="str">
        <x:v>TargetServiceLevel</x:v>
      </x:c>
      <x:c r="C7" s="239" t="str">
        <x:v>Decimal</x:v>
      </x:c>
      <x:c r="D7" s="239" t="str">
        <x:v>Probability of satisfying demand without stockout</x:v>
      </x:c>
      <x:c r="E7" s="239" t="str">
        <x:v>Product</x:v>
      </x:c>
      <x:c r="F7" s="239" t="str">
        <x:v>Business assumption</x:v>
      </x:c>
      <x:c r="G7" s="239" t="str">
        <x:v>Supply Chain</x:v>
      </x:c>
      <x:c r="H7" s="239" t="str">
        <x:v>93%-98%</x:v>
      </x:c>
    </x:row>
    <x:row r="8" ht="15" hidden="0" customHeight="1">
      <x:c r="A8" s="239" t="str">
        <x:v>fact_weekly_sales</x:v>
      </x:c>
      <x:c r="B8" s="239" t="str">
        <x:v>EstimatedDemandUnits</x:v>
      </x:c>
      <x:c r="C8" s="239" t="str">
        <x:v>Number</x:v>
      </x:c>
      <x:c r="D8" s="239" t="str">
        <x:v>Units sold plus estimated lost sales</x:v>
      </x:c>
      <x:c r="E8" s="239" t="str">
        <x:v>Week-SKU-channel</x:v>
      </x:c>
      <x:c r="F8" s="239" t="str">
        <x:v>Synthetic generator</x:v>
      </x:c>
      <x:c r="G8" s="239" t="str">
        <x:v>Commercial</x:v>
      </x:c>
      <x:c r="H8" s="239" t="str">
        <x:v>Uncensored demand proxy</x:v>
      </x:c>
    </x:row>
    <x:row r="9" ht="15" hidden="0" customHeight="1">
      <x:c r="A9" s="239" t="str">
        <x:v>fact_weekly_sales</x:v>
      </x:c>
      <x:c r="B9" s="239" t="str">
        <x:v>NetRevenueTRY</x:v>
      </x:c>
      <x:c r="C9" s="239" t="str">
        <x:v>Currency</x:v>
      </x:c>
      <x:c r="D9" s="239" t="str">
        <x:v>Gross sales less discount</x:v>
      </x:c>
      <x:c r="E9" s="239" t="str">
        <x:v>Week-SKU-channel</x:v>
      </x:c>
      <x:c r="F9" s="239" t="str">
        <x:v>Synthetic generator</x:v>
      </x:c>
      <x:c r="G9" s="239" t="str">
        <x:v>Finance</x:v>
      </x:c>
      <x:c r="H9" s="239" t="str">
        <x:v>TRY</x:v>
      </x:c>
    </x:row>
    <x:row r="10" ht="15" hidden="0" customHeight="1">
      <x:c r="A10" s="239" t="str">
        <x:v>fact_weekly_sales</x:v>
      </x:c>
      <x:c r="B10" s="239" t="str">
        <x:v>GrossProfitTRY</x:v>
      </x:c>
      <x:c r="C10" s="239" t="str">
        <x:v>Currency</x:v>
      </x:c>
      <x:c r="D10" s="239" t="str">
        <x:v>Net revenue less cost of goods</x:v>
      </x:c>
      <x:c r="E10" s="239" t="str">
        <x:v>Week-SKU-channel</x:v>
      </x:c>
      <x:c r="F10" s="239" t="str">
        <x:v>Synthetic generator</x:v>
      </x:c>
      <x:c r="G10" s="239" t="str">
        <x:v>Finance</x:v>
      </x:c>
      <x:c r="H10" s="239" t="str">
        <x:v>TRY</x:v>
      </x:c>
    </x:row>
    <x:row r="11" ht="15" hidden="0" customHeight="1">
      <x:c r="A11" s="239" t="str">
        <x:v>fact_inventory_snapshot</x:v>
      </x:c>
      <x:c r="B11" s="239" t="str">
        <x:v>EndingOnHand</x:v>
      </x:c>
      <x:c r="C11" s="239" t="str">
        <x:v>Number</x:v>
      </x:c>
      <x:c r="D11" s="239" t="str">
        <x:v>Units physically available at week end</x:v>
      </x:c>
      <x:c r="E11" s="239" t="str">
        <x:v>Week-SKU</x:v>
      </x:c>
      <x:c r="F11" s="239" t="str">
        <x:v>Inventory simulation</x:v>
      </x:c>
      <x:c r="G11" s="239" t="str">
        <x:v>Supply Chain</x:v>
      </x:c>
      <x:c r="H11" s="239"/>
    </x:row>
    <x:row r="12" ht="15" hidden="0" customHeight="1">
      <x:c r="A12" s="239" t="str">
        <x:v>fact_inventory_snapshot</x:v>
      </x:c>
      <x:c r="B12" s="239" t="str">
        <x:v>WeeksOfSupply</x:v>
      </x:c>
      <x:c r="C12" s="239" t="str">
        <x:v>Decimal</x:v>
      </x:c>
      <x:c r="D12" s="239" t="str">
        <x:v>Ending stock divided by expected weekly demand</x:v>
      </x:c>
      <x:c r="E12" s="239" t="str">
        <x:v>Week-SKU</x:v>
      </x:c>
      <x:c r="F12" s="239" t="str">
        <x:v>Inventory simulation</x:v>
      </x:c>
      <x:c r="G12" s="239" t="str">
        <x:v>Supply Chain</x:v>
      </x:c>
      <x:c r="H12" s="239"/>
    </x:row>
    <x:row r="13" ht="15" hidden="0" customHeight="1">
      <x:c r="A13" s="239" t="str">
        <x:v>forecast_results</x:v>
      </x:c>
      <x:c r="B13" s="239" t="str">
        <x:v>ForecastUnits</x:v>
      </x:c>
      <x:c r="C13" s="239" t="str">
        <x:v>Decimal</x:v>
      </x:c>
      <x:c r="D13" s="239" t="str">
        <x:v>Champion-model point forecast</x:v>
      </x:c>
      <x:c r="E13" s="239" t="str">
        <x:v>Forecast week-SKU</x:v>
      </x:c>
      <x:c r="F13" s="239" t="str">
        <x:v>Python model</x:v>
      </x:c>
      <x:c r="G13" s="239" t="str">
        <x:v>Analytics</x:v>
      </x:c>
      <x:c r="H13" s="239" t="str">
        <x:v>52 weeks</x:v>
      </x:c>
    </x:row>
    <x:row r="14" ht="15" hidden="0" customHeight="1">
      <x:c r="A14" s="239" t="str">
        <x:v>forecast_results</x:v>
      </x:c>
      <x:c r="B14" s="239" t="str">
        <x:v>Lower80Units</x:v>
      </x:c>
      <x:c r="C14" s="239" t="str">
        <x:v>Decimal</x:v>
      </x:c>
      <x:c r="D14" s="239" t="str">
        <x:v>Lower bound of 80% prediction interval</x:v>
      </x:c>
      <x:c r="E14" s="239" t="str">
        <x:v>Forecast week-SKU</x:v>
      </x:c>
      <x:c r="F14" s="239" t="str">
        <x:v>Python model</x:v>
      </x:c>
      <x:c r="G14" s="239" t="str">
        <x:v>Analytics</x:v>
      </x:c>
      <x:c r="H14" s="239"/>
    </x:row>
    <x:row r="15" ht="15" hidden="0" customHeight="1">
      <x:c r="A15" s="239" t="str">
        <x:v>model_comparison</x:v>
      </x:c>
      <x:c r="B15" s="239" t="str">
        <x:v>WAPE</x:v>
      </x:c>
      <x:c r="C15" s="239" t="str">
        <x:v>Percentage</x:v>
      </x:c>
      <x:c r="D15" s="239" t="str">
        <x:v>Sum absolute error divided by sum actual demand</x:v>
      </x:c>
      <x:c r="E15" s="239" t="str">
        <x:v>SKU-model</x:v>
      </x:c>
      <x:c r="F15" s="239" t="str">
        <x:v>Backtest</x:v>
      </x:c>
      <x:c r="G15" s="239" t="str">
        <x:v>Analytics</x:v>
      </x:c>
      <x:c r="H15" s="239" t="str">
        <x:v>Lower is better</x:v>
      </x:c>
    </x:row>
    <x:row r="16" ht="15" hidden="0" customHeight="1">
      <x:c r="A16" s="239" t="str">
        <x:v>model_comparison</x:v>
      </x:c>
      <x:c r="B16" s="239" t="str">
        <x:v>Bias</x:v>
      </x:c>
      <x:c r="C16" s="239" t="str">
        <x:v>Percentage</x:v>
      </x:c>
      <x:c r="D16" s="239" t="str">
        <x:v>Net forecast error divided by total actual demand</x:v>
      </x:c>
      <x:c r="E16" s="239" t="str">
        <x:v>SKU-model</x:v>
      </x:c>
      <x:c r="F16" s="239" t="str">
        <x:v>Backtest</x:v>
      </x:c>
      <x:c r="G16" s="239" t="str">
        <x:v>Analytics</x:v>
      </x:c>
      <x:c r="H16" s="239" t="str">
        <x:v>Positive = over-forecast</x:v>
      </x:c>
    </x:row>
    <x:row r="17" ht="15" hidden="0" customHeight="1">
      <x:c r="A17" s="239" t="str">
        <x:v>replenishment</x:v>
      </x:c>
      <x:c r="B17" s="239" t="str">
        <x:v>SafetyStockUnits</x:v>
      </x:c>
      <x:c r="C17" s="239" t="str">
        <x:v>Decimal</x:v>
      </x:c>
      <x:c r="D17" s="239" t="str">
        <x:v>Service-level buffer based on residual variability</x:v>
      </x:c>
      <x:c r="E17" s="239" t="str">
        <x:v>SKU</x:v>
      </x:c>
      <x:c r="F17" s="239" t="str">
        <x:v>Optimization</x:v>
      </x:c>
      <x:c r="G17" s="239" t="str">
        <x:v>Supply Chain</x:v>
      </x:c>
      <x:c r="H17" s="239"/>
    </x:row>
    <x:row r="18" ht="15" hidden="0" customHeight="1">
      <x:c r="A18" s="239" t="str">
        <x:v>replenishment</x:v>
      </x:c>
      <x:c r="B18" s="239" t="str">
        <x:v>ReorderPointUnits</x:v>
      </x:c>
      <x:c r="C18" s="239" t="str">
        <x:v>Decimal</x:v>
      </x:c>
      <x:c r="D18" s="239" t="str">
        <x:v>Lead-time demand plus safety stock</x:v>
      </x:c>
      <x:c r="E18" s="239" t="str">
        <x:v>SKU</x:v>
      </x:c>
      <x:c r="F18" s="239" t="str">
        <x:v>Optimization</x:v>
      </x:c>
      <x:c r="G18" s="239" t="str">
        <x:v>Supply Chain</x:v>
      </x:c>
      <x:c r="H18" s="239"/>
    </x:row>
    <x:row r="19" ht="15" hidden="0" customHeight="1">
      <x:c r="A19" s="239" t="str">
        <x:v>replenishment</x:v>
      </x:c>
      <x:c r="B19" s="239" t="str">
        <x:v>EOQUnits</x:v>
      </x:c>
      <x:c r="C19" s="239" t="str">
        <x:v>Decimal</x:v>
      </x:c>
      <x:c r="D19" s="239" t="str">
        <x:v>Economic order quantity</x:v>
      </x:c>
      <x:c r="E19" s="239" t="str">
        <x:v>SKU</x:v>
      </x:c>
      <x:c r="F19" s="239" t="str">
        <x:v>Optimization</x:v>
      </x:c>
      <x:c r="G19" s="239" t="str">
        <x:v>Supply Chain</x:v>
      </x:c>
      <x:c r="H19" s="239"/>
    </x:row>
    <x:row r="20" ht="15" hidden="0" customHeight="1">
      <x:c r="A20" s="239" t="str">
        <x:v>replenishment</x:v>
      </x:c>
      <x:c r="B20" s="239" t="str">
        <x:v>RecommendedOrderQty</x:v>
      </x:c>
      <x:c r="C20" s="239" t="str">
        <x:v>Number</x:v>
      </x:c>
      <x:c r="D20" s="239" t="str">
        <x:v>Pack-rounded order recommendation</x:v>
      </x:c>
      <x:c r="E20" s="239" t="str">
        <x:v>SKU</x:v>
      </x:c>
      <x:c r="F20" s="239" t="str">
        <x:v>Optimization</x:v>
      </x:c>
      <x:c r="G20" s="239" t="str">
        <x:v>Supply Chain</x:v>
      </x:c>
      <x:c r="H20" s="239" t="str">
        <x:v>Respects MOQ</x:v>
      </x:c>
    </x:row>
    <x:row r="21" ht="15" hidden="0" customHeight="1">
      <x:c r="A21" s="239" t="str">
        <x:v>scenario_summary</x:v>
      </x:c>
      <x:c r="B21" s="239" t="str">
        <x:v>RecommendedInvestmentTRY</x:v>
      </x:c>
      <x:c r="C21" s="239" t="str">
        <x:v>Currency</x:v>
      </x:c>
      <x:c r="D21" s="239" t="str">
        <x:v>Cost of recommended order quantities</x:v>
      </x:c>
      <x:c r="E21" s="239" t="str">
        <x:v>Scenario</x:v>
      </x:c>
      <x:c r="F21" s="239" t="str">
        <x:v>Optimization</x:v>
      </x:c>
      <x:c r="G21" s="239" t="str">
        <x:v>Finance</x:v>
      </x:c>
      <x:c r="H21" s="239" t="str">
        <x:v>TRY</x:v>
      </x:c>
    </x:row>
    <x:row r="22" ht="15" hidden="0" customHeight="1">
      <x:c r="A22" s="239" t="str">
        <x:v>scenario_summary</x:v>
      </x:c>
      <x:c r="B22" s="239" t="str">
        <x:v>SKUsToOrder</x:v>
      </x:c>
      <x:c r="C22" s="239" t="str">
        <x:v>Number</x:v>
      </x:c>
      <x:c r="D22" s="239" t="str">
        <x:v>Count of products requiring immediate order</x:v>
      </x:c>
      <x:c r="E22" s="239" t="str">
        <x:v>Scenario</x:v>
      </x:c>
      <x:c r="F22" s="239" t="str">
        <x:v>Optimization</x:v>
      </x:c>
      <x:c r="G22" s="239" t="str">
        <x:v>Supply Chain</x:v>
      </x:c>
      <x:c r="H22" s="239"/>
    </x:row>
    <x:row r="23" ht="15" hidden="0" customHeight="1">
      <x:c r="A23" s="239" t="str">
        <x:v>scenario_summary</x:v>
      </x:c>
      <x:c r="B23" s="239" t="str">
        <x:v>AverageWeeksOfSupply</x:v>
      </x:c>
      <x:c r="C23" s="239" t="str">
        <x:v>Decimal</x:v>
      </x:c>
      <x:c r="D23" s="239" t="str">
        <x:v>Average portfolio inventory coverage</x:v>
      </x:c>
      <x:c r="E23" s="239" t="str">
        <x:v>Scenario</x:v>
      </x:c>
      <x:c r="F23" s="239" t="str">
        <x:v>Optimization</x:v>
      </x:c>
      <x:c r="G23" s="239" t="str">
        <x:v>Supply Chain</x:v>
      </x:c>
      <x:c r="H23" s="239"/>
    </x:row>
    <x:row r="24" ht="15" hidden="0" customHeight="1">
      <x:c r="A24" s="239" t="str">
        <x:v>supplier_scorecard</x:v>
      </x:c>
      <x:c r="B24" s="239" t="str">
        <x:v>OnTimeDeliveryRate</x:v>
      </x:c>
      <x:c r="C24" s="239" t="str">
        <x:v>Percentage</x:v>
      </x:c>
      <x:c r="D24" s="239" t="str">
        <x:v>Share of POs received by expected date plus tolerance</x:v>
      </x:c>
      <x:c r="E24" s="239" t="str">
        <x:v>Supplier</x:v>
      </x:c>
      <x:c r="F24" s="239" t="str">
        <x:v>PO simulation</x:v>
      </x:c>
      <x:c r="G24" s="239" t="str">
        <x:v>Procurement</x:v>
      </x:c>
      <x:c r="H24" s="239"/>
    </x:row>
    <x:row r="25" ht="15" hidden="0" customHeight="1">
      <x:c r="A25" s="239" t="str">
        <x:v>validation_report</x:v>
      </x:c>
      <x:c r="B25" s="239" t="str">
        <x:v>all_passed</x:v>
      </x:c>
      <x:c r="C25" s="239" t="str">
        <x:v>Boolean</x:v>
      </x:c>
      <x:c r="D25" s="239" t="str">
        <x:v>All automated data and business-rule checks passed</x:v>
      </x:c>
      <x:c r="E25" s="239" t="str">
        <x:v>Project</x:v>
      </x:c>
      <x:c r="F25" s="239" t="str">
        <x:v>Validation</x:v>
      </x:c>
      <x:c r="G25" s="239" t="str">
        <x:v>Analytics</x:v>
      </x:c>
      <x:c r="H25" s="239"/>
    </x:row>
  </x:sheetData>
  <x:mergeCells>
    <x:mergeCell ref="A1:H2"/>
    <x:mergeCell ref="A3:H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</x:cols>
  <x:sheetData>
    <x:row r="1" ht="25" customHeight="1">
      <x:c r="A1" s="68" t="str">
        <x:v>Workbook Controls</x:v>
      </x:c>
      <x:c r="B1" s="68"/>
      <x:c r="C1" s="68"/>
      <x:c r="D1" s="68"/>
      <x:c r="E1" s="68"/>
      <x:c r="F1" s="68"/>
    </x:row>
    <x:row r="2" ht="25" customHeight="1">
      <x:c r="A2" s="68"/>
      <x:c r="B2" s="68"/>
      <x:c r="C2" s="68"/>
      <x:c r="D2" s="68"/>
      <x:c r="E2" s="68"/>
      <x:c r="F2" s="68"/>
    </x:row>
    <x:row r="3" ht="15" hidden="0" customHeight="1">
      <x:c r="A3" s="71" t="str">
        <x:v>Formula-driven integrity checks for the delivered model</x:v>
      </x:c>
      <x:c r="B3" s="71"/>
      <x:c r="C3" s="71"/>
      <x:c r="D3" s="71"/>
      <x:c r="E3" s="71"/>
      <x:c r="F3" s="71"/>
    </x:row>
    <x:row r="4"/>
    <x:row r="5" ht="15" hidden="0" customHeight="1">
      <x:c r="A5" s="78" t="str">
        <x:v>Check</x:v>
      </x:c>
      <x:c r="B5" s="78" t="str">
        <x:v>Formula / Rule</x:v>
      </x:c>
      <x:c r="C5" s="78" t="str">
        <x:v>Result</x:v>
      </x:c>
      <x:c r="D5" s="78" t="str">
        <x:v>Expected</x:v>
      </x:c>
      <x:c r="E5" s="78" t="str">
        <x:v>Status</x:v>
      </x:c>
      <x:c r="F5" s="78" t="str">
        <x:v>Owner</x:v>
      </x:c>
    </x:row>
    <x:row r="6" ht="15" hidden="0" customHeight="1">
      <x:c r="A6" s="74" t="str">
        <x:v>Product count</x:v>
      </x:c>
      <x:c r="B6" s="74" t="str">
        <x:v>COUNTA Product Portfolio SKU</x:v>
      </x:c>
      <x:c r="C6" s="74" t="n">
        <x:f>COUNTA('Product Portfolio'!A6:A65)</x:f>
        <x:v>60</x:v>
      </x:c>
      <x:c r="D6" s="74" t="n">
        <x:v>60</x:v>
      </x:c>
      <x:c r="E6" s="74" t="str">
        <x:f>IF(C6=D6,"PASS","FAIL")</x:f>
        <x:v>PASS</x:v>
      </x:c>
      <x:c r="F6" s="74" t="str">
        <x:v>Analytics</x:v>
      </x:c>
    </x:row>
    <x:row r="7" ht="15" hidden="0" customHeight="1">
      <x:c r="A7" s="74" t="str">
        <x:v>Forecast month-category rows</x:v>
      </x:c>
      <x:c r="B7" s="74" t="str">
        <x:v>COUNTA Forecast Data</x:v>
      </x:c>
      <x:c r="C7" s="74" t="n">
        <x:f>COUNTA('Forecast Data'!A6:A77)</x:f>
        <x:v>72</x:v>
      </x:c>
      <x:c r="D7" s="74" t="n">
        <x:v>72</x:v>
      </x:c>
      <x:c r="E7" s="74" t="str">
        <x:f>IF(C7=D7,"PASS","FAIL")</x:f>
        <x:v>PASS</x:v>
      </x:c>
      <x:c r="F7" s="74" t="str">
        <x:v>Analytics</x:v>
      </x:c>
    </x:row>
    <x:row r="8" ht="15" hidden="0" customHeight="1">
      <x:c r="A8" s="74" t="str">
        <x:v>Replenishment SKU count</x:v>
      </x:c>
      <x:c r="B8" s="74" t="str">
        <x:v>COUNTA Replenishment SKU</x:v>
      </x:c>
      <x:c r="C8" s="74" t="n">
        <x:f>COUNTA('Replenishment'!A6:A65)</x:f>
        <x:v>60</x:v>
      </x:c>
      <x:c r="D8" s="74" t="n">
        <x:v>60</x:v>
      </x:c>
      <x:c r="E8" s="74" t="str">
        <x:f>IF(C8=D8,"PASS","FAIL")</x:f>
        <x:v>PASS</x:v>
      </x:c>
      <x:c r="F8" s="74" t="str">
        <x:v>Supply Chain</x:v>
      </x:c>
    </x:row>
    <x:row r="9" ht="15" hidden="0" customHeight="1">
      <x:c r="A9" s="74" t="str">
        <x:v>Champion SKU count</x:v>
      </x:c>
      <x:c r="B9" s="74" t="str">
        <x:v>COUNTA Forecast Accuracy SKU</x:v>
      </x:c>
      <x:c r="C9" s="74" t="n">
        <x:f>COUNTA('Forecast Accuracy'!A6:A65)</x:f>
        <x:v>60</x:v>
      </x:c>
      <x:c r="D9" s="74" t="n">
        <x:v>60</x:v>
      </x:c>
      <x:c r="E9" s="74" t="str">
        <x:f>IF(C9=D9,"PASS","FAIL")</x:f>
        <x:v>PASS</x:v>
      </x:c>
      <x:c r="F9" s="74" t="str">
        <x:v>Analytics</x:v>
      </x:c>
    </x:row>
    <x:row r="10" ht="15" hidden="0" customHeight="1">
      <x:c r="A10" s="74" t="str">
        <x:v>Scenario count</x:v>
      </x:c>
      <x:c r="B10" s="74" t="str">
        <x:v>COUNTA Scenario Data</x:v>
      </x:c>
      <x:c r="C10" s="74" t="n">
        <x:f>COUNTA('Scenario Data'!A6:A9)</x:f>
        <x:v>4</x:v>
      </x:c>
      <x:c r="D10" s="74" t="n">
        <x:v>4</x:v>
      </x:c>
      <x:c r="E10" s="74" t="str">
        <x:f>IF(C10=D10,"PASS","FAIL")</x:f>
        <x:v>PASS</x:v>
      </x:c>
      <x:c r="F10" s="74" t="str">
        <x:v>Finance</x:v>
      </x:c>
    </x:row>
    <x:row r="11" ht="15" hidden="0" customHeight="1">
      <x:c r="A11" s="74" t="str">
        <x:v>Negative order quantities</x:v>
      </x:c>
      <x:c r="B11" s="74" t="str">
        <x:v>COUNTIF RecommendedOrderQty &lt; 0</x:v>
      </x:c>
      <x:c r="C11" s="74" t="n">
        <x:f>COUNTIF('Replenishment'!R6:R65,"&lt;0")</x:f>
        <x:v>0</x:v>
      </x:c>
      <x:c r="D11" s="74" t="n">
        <x:v>0</x:v>
      </x:c>
      <x:c r="E11" s="74" t="str">
        <x:f>IF(C11=D11,"PASS","FAIL")</x:f>
        <x:v>PASS</x:v>
      </x:c>
      <x:c r="F11" s="74" t="str">
        <x:v>Supply Chain</x:v>
      </x:c>
    </x:row>
    <x:row r="12" ht="15" hidden="0" customHeight="1">
      <x:c r="A12" s="74" t="str">
        <x:v>Average WAPE threshold</x:v>
      </x:c>
      <x:c r="B12" s="74" t="str">
        <x:v>Average champion WAPE &lt;= 25%</x:v>
      </x:c>
      <x:c r="C12" s="80" t="n">
        <x:f>AVERAGE('Forecast Accuracy'!D6:D65)</x:f>
        <x:v>0.1573411</x:v>
      </x:c>
      <x:c r="D12" s="80" t="n">
        <x:v>0.25</x:v>
      </x:c>
      <x:c r="E12" s="74" t="str">
        <x:f>IF(C12&lt;=D12,"PASS","FAIL")</x:f>
        <x:v>PASS</x:v>
      </x:c>
      <x:c r="F12" s="74" t="str">
        <x:v>Analytics</x:v>
      </x:c>
    </x:row>
  </x:sheetData>
  <x:mergeCells>
    <x:mergeCell ref="A1:F2"/>
    <x:mergeCell ref="A3:F3"/>
  </x:mergeCells>
  <x:conditionalFormatting sqref="E6:E12">
    <x:cfRule type="containsText" dxfId="5" priority="1" operator="containsText" text="PASS"/>
    <x:cfRule type="containsText" dxfId="6" priority="2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0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5" customHeight="1">
      <x:c r="A1" s="68" t="str">
        <x:v>Sources &amp; Data Notice</x:v>
      </x:c>
      <x:c r="B1" s="68"/>
      <x:c r="C1" s="68"/>
      <x:c r="D1" s="68"/>
      <x:c r="E1" s="68"/>
      <x:c r="F1" s="68"/>
      <x:c r="G1" s="68"/>
      <x:c r="H1" s="68"/>
    </x:row>
    <x:row r="2" ht="25" customHeight="1">
      <x:c r="A2" s="68"/>
      <x:c r="B2" s="68"/>
      <x:c r="C2" s="68"/>
      <x:c r="D2" s="68"/>
      <x:c r="E2" s="68"/>
      <x:c r="F2" s="68"/>
      <x:c r="G2" s="68"/>
      <x:c r="H2" s="68"/>
    </x:row>
    <x:row r="3" ht="15" hidden="0" customHeight="1">
      <x:c r="A3" s="71" t="str">
        <x:v>Portfolio disclosure and file lineage</x:v>
      </x:c>
      <x:c r="B3" s="71"/>
      <x:c r="C3" s="71"/>
      <x:c r="D3" s="71"/>
      <x:c r="E3" s="71"/>
      <x:c r="F3" s="71"/>
      <x:c r="G3" s="71"/>
      <x:c r="H3" s="71"/>
    </x:row>
    <x:row r="4"/>
    <x:row r="5" ht="15" hidden="0" customHeight="1">
      <x:c r="A5" s="78" t="str">
        <x:v>Item</x:v>
      </x:c>
      <x:c r="B5" s="78" t="str">
        <x:v>Location / Reference</x:v>
      </x:c>
      <x:c r="C5" s="78" t="str">
        <x:v>Purpose</x:v>
      </x:c>
      <x:c r="D5" s="78" t="str">
        <x:v>Data Type</x:v>
      </x:c>
      <x:c r="E5" s="78" t="str">
        <x:v>Period</x:v>
      </x:c>
      <x:c r="F5" s="78" t="str">
        <x:v>Currency</x:v>
      </x:c>
      <x:c r="G5" s="78" t="str">
        <x:v>Disclosure</x:v>
      </x:c>
      <x:c r="H5" s="78" t="str">
        <x:v>Refresh</x:v>
      </x:c>
    </x:row>
    <x:row r="6" ht="15" hidden="0" customHeight="1">
      <x:c r="A6" s="239" t="str">
        <x:v>Synthetic historical data</x:v>
      </x:c>
      <x:c r="B6" s="239" t="str">
        <x:v>Data/fact_weekly_sales.csv</x:v>
      </x:c>
      <x:c r="C6" s="239" t="str">
        <x:v>Demand and commercial history</x:v>
      </x:c>
      <x:c r="D6" s="239" t="str">
        <x:v>Generated</x:v>
      </x:c>
      <x:c r="E6" s="239" t="str">
        <x:v>2023-2025</x:v>
      </x:c>
      <x:c r="F6" s="239" t="str">
        <x:v>TRY</x:v>
      </x:c>
      <x:c r="G6" s="239" t="str">
        <x:v>Not real customer or company data</x:v>
      </x:c>
      <x:c r="H6" s="239" t="str">
        <x:v>Pipeline run</x:v>
      </x:c>
    </x:row>
    <x:row r="7" ht="15" hidden="0" customHeight="1">
      <x:c r="A7" s="239" t="str">
        <x:v>Inventory snapshots</x:v>
      </x:c>
      <x:c r="B7" s="239" t="str">
        <x:v>Data/fact_inventory_snapshot.csv</x:v>
      </x:c>
      <x:c r="C7" s="239" t="str">
        <x:v>Stock health and stockouts</x:v>
      </x:c>
      <x:c r="D7" s="239" t="str">
        <x:v>Generated</x:v>
      </x:c>
      <x:c r="E7" s="239" t="str">
        <x:v>2023-2025</x:v>
      </x:c>
      <x:c r="F7" s="239" t="str">
        <x:v>TRY</x:v>
      </x:c>
      <x:c r="G7" s="239" t="str">
        <x:v>Simulation output</x:v>
      </x:c>
      <x:c r="H7" s="239" t="str">
        <x:v>Pipeline run</x:v>
      </x:c>
    </x:row>
    <x:row r="8" ht="15" hidden="0" customHeight="1">
      <x:c r="A8" s="239" t="str">
        <x:v>Forecast output</x:v>
      </x:c>
      <x:c r="B8" s="239" t="str">
        <x:v>Data/forecast_results.csv</x:v>
      </x:c>
      <x:c r="C8" s="239" t="str">
        <x:v>2026 weekly demand forecast</x:v>
      </x:c>
      <x:c r="D8" s="239" t="str">
        <x:v>Model output</x:v>
      </x:c>
      <x:c r="E8" s="239" t="str">
        <x:v>2026</x:v>
      </x:c>
      <x:c r="F8" s="239" t="str">
        <x:v>TRY</x:v>
      </x:c>
      <x:c r="G8" s="239" t="str">
        <x:v>Champion model per SKU</x:v>
      </x:c>
      <x:c r="H8" s="239" t="str">
        <x:v>Pipeline run</x:v>
      </x:c>
    </x:row>
    <x:row r="9" ht="15" hidden="0" customHeight="1">
      <x:c r="A9" s="239" t="str">
        <x:v>Model comparison</x:v>
      </x:c>
      <x:c r="B9" s="239" t="str">
        <x:v>Data/model_comparison.csv</x:v>
      </x:c>
      <x:c r="C9" s="239" t="str">
        <x:v>Backtest governance</x:v>
      </x:c>
      <x:c r="D9" s="239" t="str">
        <x:v>Model output</x:v>
      </x:c>
      <x:c r="E9" s="239" t="str">
        <x:v>Last 13 weeks</x:v>
      </x:c>
      <x:c r="F9" s="239"/>
      <x:c r="G9" s="239" t="str">
        <x:v>WAPE/MAE/RMSE/Bias</x:v>
      </x:c>
      <x:c r="H9" s="239" t="str">
        <x:v>Pipeline run</x:v>
      </x:c>
    </x:row>
    <x:row r="10" ht="15" hidden="0" customHeight="1">
      <x:c r="A10" s="239" t="str">
        <x:v>Replenishment</x:v>
      </x:c>
      <x:c r="B10" s="239" t="str">
        <x:v>Data/replenishment_recommendations.csv</x:v>
      </x:c>
      <x:c r="C10" s="239" t="str">
        <x:v>SKU order decisions</x:v>
      </x:c>
      <x:c r="D10" s="239" t="str">
        <x:v>Optimization output</x:v>
      </x:c>
      <x:c r="E10" s="239" t="str">
        <x:v>2026 planning</x:v>
      </x:c>
      <x:c r="F10" s="239" t="str">
        <x:v>TRY</x:v>
      </x:c>
      <x:c r="G10" s="239" t="str">
        <x:v>MOQ and case-pack constraints</x:v>
      </x:c>
      <x:c r="H10" s="239" t="str">
        <x:v>Pipeline run</x:v>
      </x:c>
    </x:row>
    <x:row r="11" ht="15" hidden="0" customHeight="1">
      <x:c r="A11" s="239" t="str">
        <x:v>Scenario summary</x:v>
      </x:c>
      <x:c r="B11" s="239" t="str">
        <x:v>Data/scenario_summary.csv</x:v>
      </x:c>
      <x:c r="C11" s="239" t="str">
        <x:v>Budget planning</x:v>
      </x:c>
      <x:c r="D11" s="239" t="str">
        <x:v>Optimization output</x:v>
      </x:c>
      <x:c r="E11" s="239" t="str">
        <x:v>2026 planning</x:v>
      </x:c>
      <x:c r="F11" s="239" t="str">
        <x:v>TRY</x:v>
      </x:c>
      <x:c r="G11" s="239" t="str">
        <x:v>Lean/Base/Growth/Resilience</x:v>
      </x:c>
      <x:c r="H11" s="239" t="str">
        <x:v>Pipeline run</x:v>
      </x:c>
    </x:row>
    <x:row r="12" ht="15" hidden="0" customHeight="1">
      <x:c r="A12" s="239" t="str">
        <x:v>SQLite database</x:v>
      </x:c>
      <x:c r="B12" s="239" t="str">
        <x:v>SQL/ecommerce_demand_inventory.db</x:v>
      </x:c>
      <x:c r="C12" s="239" t="str">
        <x:v>Relational analytics layer</x:v>
      </x:c>
      <x:c r="D12" s="239" t="str">
        <x:v>Database</x:v>
      </x:c>
      <x:c r="E12" s="239" t="str">
        <x:v>2023-2026</x:v>
      </x:c>
      <x:c r="F12" s="239" t="str">
        <x:v>TRY</x:v>
      </x:c>
      <x:c r="G12" s="239" t="str">
        <x:v>Generated from CSV sources</x:v>
      </x:c>
      <x:c r="H12" s="239" t="str">
        <x:v>Pipeline run</x:v>
      </x:c>
    </x:row>
    <x:row r="13" ht="15" hidden="0" customHeight="1">
      <x:c r="A13" s="239" t="str">
        <x:v>Project methodology</x:v>
      </x:c>
      <x:c r="B13" s="239" t="str">
        <x:v>docs/methodology.md</x:v>
      </x:c>
      <x:c r="C13" s="239" t="str">
        <x:v>Definitions and limitations</x:v>
      </x:c>
      <x:c r="D13" s="239" t="str">
        <x:v>Documentation</x:v>
      </x:c>
      <x:c r="E13" s="239"/>
      <x:c r="F13" s="239"/>
      <x:c r="G13" s="239" t="str">
        <x:v>Read before business use</x:v>
      </x:c>
      <x:c r="H13" s="239" t="str">
        <x:v>Versioned</x:v>
      </x:c>
    </x:row>
    <x:row r="14" ht="21.600000381469727" hidden="0" customHeight="1">
      <x:c r="A14" s="239" t="str">
        <x:v>Author</x:v>
      </x:c>
      <x:c r="B14" s="239" t="str">
        <x:v>Murat Miraç Gedik</x:v>
      </x:c>
      <x:c r="C14" s="239" t="str">
        <x:v>Portfolio attribution</x:v>
      </x:c>
      <x:c r="D14" s="239" t="str">
        <x:v>Metadata</x:v>
      </x:c>
      <x:c r="E14" s="239" t="str">
        <x:v>July 2026</x:v>
      </x:c>
      <x:c r="F14" s="239"/>
      <x:c r="G14" s="239" t="str">
        <x:v>MonacoLuxe-inspired synthetic project</x:v>
      </x:c>
      <x:c r="H14" s="239" t="str">
        <x:v>Versioned</x:v>
      </x:c>
    </x:row>
  </x:sheetData>
  <x:mergeCells>
    <x:mergeCell ref="A1:H2"/>
    <x:mergeCell ref="A3:H3"/>
  </x:mergeCells>
  <x:pageMargins left="0.7" right="0.7" top="0.75" bottom="0.75" header="0.3" footer="0.3"/>
</x:worksheet>
</file>